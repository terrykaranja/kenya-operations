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ilvon\Desktop\"/>
    </mc:Choice>
  </mc:AlternateContent>
  <xr:revisionPtr revIDLastSave="0" documentId="8_{4C074148-4061-43A4-BE5E-E1251FC9AACD}" xr6:coauthVersionLast="47" xr6:coauthVersionMax="47" xr10:uidLastSave="{00000000-0000-0000-0000-000000000000}"/>
  <bookViews>
    <workbookView xWindow="-108" yWindow="-108" windowWidth="23256" windowHeight="13896" firstSheet="1" activeTab="1" xr2:uid="{95B59C34-E533-40DE-94AF-DC464946D797}"/>
  </bookViews>
  <sheets>
    <sheet name="Sheet2" sheetId="2" r:id="rId1"/>
    <sheet name="Sheet1" sheetId="1" r:id="rId2"/>
  </sheets>
  <definedNames>
    <definedName name="_xlnm._FilterDatabase" localSheetId="1" hidden="1">Sheet1!$N$1:$N$588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485" i="1" l="1"/>
  <c r="U485" i="1"/>
  <c r="V289" i="1"/>
  <c r="U289" i="1"/>
  <c r="V339" i="1"/>
  <c r="U339" i="1"/>
  <c r="V365" i="1"/>
  <c r="U365" i="1"/>
  <c r="Z365" i="1"/>
  <c r="Y365" i="1"/>
  <c r="X365" i="1"/>
  <c r="W365" i="1"/>
  <c r="Z364" i="1"/>
  <c r="Y364" i="1"/>
  <c r="X364" i="1"/>
  <c r="W364" i="1"/>
  <c r="V364" i="1"/>
  <c r="U364" i="1"/>
  <c r="Z362" i="1"/>
  <c r="Y362" i="1"/>
  <c r="X362" i="1"/>
  <c r="W362" i="1"/>
  <c r="V363" i="1"/>
  <c r="U363" i="1"/>
  <c r="Z352" i="1"/>
  <c r="W352" i="1"/>
  <c r="V353" i="1"/>
  <c r="U353" i="1"/>
  <c r="Z356" i="1"/>
  <c r="W356" i="1"/>
  <c r="V357" i="1"/>
  <c r="U357" i="1"/>
  <c r="V351" i="1"/>
  <c r="U351" i="1"/>
  <c r="V345" i="1"/>
  <c r="U345" i="1"/>
  <c r="V343" i="1"/>
  <c r="U343" i="1"/>
  <c r="V344" i="1"/>
  <c r="U344" i="1"/>
  <c r="V349" i="1"/>
  <c r="U349" i="1"/>
  <c r="Z271" i="1"/>
  <c r="W271" i="1"/>
  <c r="V273" i="1"/>
  <c r="U273" i="1"/>
  <c r="Z274" i="1"/>
  <c r="W274" i="1"/>
  <c r="V275" i="1"/>
  <c r="U275" i="1"/>
  <c r="V278" i="1"/>
  <c r="U278" i="1"/>
  <c r="V277" i="1"/>
  <c r="U277" i="1"/>
  <c r="V537" i="1"/>
  <c r="U537" i="1"/>
  <c r="Z533" i="1"/>
  <c r="W533" i="1"/>
  <c r="V534" i="1"/>
  <c r="U534" i="1"/>
  <c r="Z531" i="1"/>
  <c r="W531" i="1"/>
  <c r="V532" i="1"/>
  <c r="U532" i="1"/>
  <c r="Z264" i="1"/>
  <c r="X264" i="1"/>
  <c r="W264" i="1"/>
  <c r="V264" i="1"/>
  <c r="Y264" i="1" s="1"/>
  <c r="Z340" i="1"/>
  <c r="Y340" i="1"/>
  <c r="X340" i="1"/>
  <c r="W340" i="1"/>
  <c r="Z339" i="1"/>
  <c r="Y339" i="1"/>
  <c r="X339" i="1"/>
  <c r="W339" i="1"/>
  <c r="Z335" i="1"/>
  <c r="Y335" i="1"/>
  <c r="X335" i="1"/>
  <c r="W335" i="1"/>
  <c r="Z337" i="1"/>
  <c r="W337" i="1"/>
  <c r="V337" i="1"/>
  <c r="Y337" i="1" s="1"/>
  <c r="U337" i="1"/>
  <c r="X337" i="1" s="1"/>
  <c r="Z396" i="1"/>
  <c r="W396" i="1"/>
  <c r="V396" i="1"/>
  <c r="Y396" i="1" s="1"/>
  <c r="U396" i="1"/>
  <c r="X396" i="1" s="1"/>
  <c r="Z57" i="1"/>
  <c r="W57" i="1"/>
  <c r="V58" i="1"/>
  <c r="U58" i="1"/>
  <c r="W114" i="1"/>
  <c r="Z112" i="1"/>
  <c r="Y112" i="1"/>
  <c r="X112" i="1"/>
  <c r="W112" i="1"/>
  <c r="Z111" i="1"/>
  <c r="Y111" i="1"/>
  <c r="X111" i="1"/>
  <c r="W111" i="1"/>
  <c r="Z109" i="1"/>
  <c r="Y109" i="1"/>
  <c r="X109" i="1"/>
  <c r="W109" i="1"/>
  <c r="Z108" i="1"/>
  <c r="Y108" i="1"/>
  <c r="X108" i="1"/>
  <c r="W108" i="1"/>
  <c r="Z106" i="1"/>
  <c r="Y106" i="1"/>
  <c r="X106" i="1"/>
  <c r="W106" i="1"/>
  <c r="Z104" i="1"/>
  <c r="Y104" i="1"/>
  <c r="X104" i="1"/>
  <c r="W104" i="1"/>
  <c r="Z102" i="1"/>
  <c r="Y102" i="1"/>
  <c r="X102" i="1"/>
  <c r="W102" i="1"/>
  <c r="Z100" i="1"/>
  <c r="Y100" i="1"/>
  <c r="X100" i="1"/>
  <c r="W100" i="1"/>
  <c r="Z96" i="1"/>
  <c r="Y96" i="1"/>
  <c r="X96" i="1"/>
  <c r="W96" i="1"/>
  <c r="Z95" i="1"/>
  <c r="Y95" i="1"/>
  <c r="X95" i="1"/>
  <c r="W95" i="1"/>
  <c r="Z94" i="1"/>
  <c r="Y94" i="1"/>
  <c r="X94" i="1"/>
  <c r="W94" i="1"/>
  <c r="Z93" i="1"/>
  <c r="Y93" i="1"/>
  <c r="X93" i="1"/>
  <c r="W93" i="1"/>
  <c r="Z92" i="1"/>
  <c r="Y92" i="1"/>
  <c r="X92" i="1"/>
  <c r="W92" i="1"/>
  <c r="Z90" i="1"/>
  <c r="Y90" i="1"/>
  <c r="X90" i="1"/>
  <c r="W90" i="1"/>
  <c r="Z88" i="1"/>
  <c r="Y88" i="1"/>
  <c r="X88" i="1"/>
  <c r="W88" i="1"/>
  <c r="Z87" i="1"/>
  <c r="Y87" i="1"/>
  <c r="X87" i="1"/>
  <c r="W87" i="1"/>
  <c r="Z86" i="1"/>
  <c r="Y86" i="1"/>
  <c r="X86" i="1"/>
  <c r="W86" i="1"/>
  <c r="Z85" i="1"/>
  <c r="Y85" i="1"/>
  <c r="X85" i="1"/>
  <c r="W85" i="1"/>
  <c r="Z84" i="1"/>
  <c r="Y84" i="1"/>
  <c r="X84" i="1"/>
  <c r="W84" i="1"/>
  <c r="Z82" i="1"/>
  <c r="Y82" i="1"/>
  <c r="X82" i="1"/>
  <c r="W82" i="1"/>
  <c r="Z76" i="1"/>
  <c r="Y76" i="1"/>
  <c r="X76" i="1"/>
  <c r="W76" i="1"/>
  <c r="Z569" i="1"/>
  <c r="Y569" i="1"/>
  <c r="X569" i="1"/>
  <c r="W569" i="1"/>
  <c r="Z568" i="1"/>
  <c r="Y568" i="1"/>
  <c r="X568" i="1"/>
  <c r="W568" i="1"/>
  <c r="Z567" i="1"/>
  <c r="Y567" i="1"/>
  <c r="X567" i="1"/>
  <c r="W567" i="1"/>
  <c r="Z565" i="1"/>
  <c r="Y565" i="1"/>
  <c r="X565" i="1"/>
  <c r="W565" i="1"/>
  <c r="Z564" i="1"/>
  <c r="Y564" i="1"/>
  <c r="X564" i="1"/>
  <c r="W564" i="1"/>
  <c r="W562" i="1"/>
  <c r="X562" i="1"/>
  <c r="Y562" i="1"/>
  <c r="Z528" i="1"/>
  <c r="W528" i="1"/>
  <c r="V529" i="1"/>
  <c r="U529" i="1"/>
  <c r="V528" i="1"/>
  <c r="Y528" i="1" s="1"/>
  <c r="U528" i="1"/>
  <c r="X528" i="1" s="1"/>
  <c r="V533" i="1"/>
  <c r="Y533" i="1" s="1"/>
  <c r="U533" i="1"/>
  <c r="X533" i="1" s="1"/>
  <c r="V531" i="1"/>
  <c r="U531" i="1"/>
  <c r="X531" i="1" s="1"/>
  <c r="Z354" i="1"/>
  <c r="W354" i="1"/>
  <c r="V355" i="1"/>
  <c r="U355" i="1"/>
  <c r="Z524" i="1"/>
  <c r="W524" i="1"/>
  <c r="V523" i="1"/>
  <c r="V526" i="1"/>
  <c r="U526" i="1"/>
  <c r="Z180" i="1"/>
  <c r="W180" i="1"/>
  <c r="V181" i="1"/>
  <c r="U181" i="1"/>
  <c r="Z202" i="1"/>
  <c r="W202" i="1"/>
  <c r="V203" i="1"/>
  <c r="U203" i="1"/>
  <c r="V202" i="1"/>
  <c r="U202" i="1"/>
  <c r="Z374" i="1"/>
  <c r="Y374" i="1"/>
  <c r="X374" i="1"/>
  <c r="W374" i="1"/>
  <c r="Z371" i="1"/>
  <c r="Y371" i="1"/>
  <c r="X371" i="1"/>
  <c r="W371" i="1"/>
  <c r="Z370" i="1"/>
  <c r="Y370" i="1"/>
  <c r="X370" i="1"/>
  <c r="W370" i="1"/>
  <c r="Z369" i="1"/>
  <c r="W369" i="1"/>
  <c r="V369" i="1"/>
  <c r="Y369" i="1" s="1"/>
  <c r="U369" i="1"/>
  <c r="X369" i="1" s="1"/>
  <c r="V198" i="1"/>
  <c r="U198" i="1"/>
  <c r="V304" i="1"/>
  <c r="U304" i="1"/>
  <c r="V308" i="1"/>
  <c r="U308" i="1"/>
  <c r="W230" i="1"/>
  <c r="V234" i="1"/>
  <c r="U234" i="1"/>
  <c r="Z235" i="1"/>
  <c r="W235" i="1"/>
  <c r="V235" i="1"/>
  <c r="Y235" i="1" s="1"/>
  <c r="U235" i="1"/>
  <c r="X235" i="1" s="1"/>
  <c r="V219" i="1"/>
  <c r="U219" i="1"/>
  <c r="V288" i="1"/>
  <c r="U288" i="1"/>
  <c r="Z292" i="1"/>
  <c r="W292" i="1"/>
  <c r="V293" i="1"/>
  <c r="U293" i="1"/>
  <c r="V284" i="1"/>
  <c r="U284" i="1"/>
  <c r="Z290" i="1"/>
  <c r="W290" i="1"/>
  <c r="V291" i="1"/>
  <c r="U291" i="1"/>
  <c r="V303" i="1"/>
  <c r="U303" i="1"/>
  <c r="Z331" i="1"/>
  <c r="Y331" i="1"/>
  <c r="X331" i="1"/>
  <c r="W331" i="1"/>
  <c r="Z330" i="1"/>
  <c r="Y330" i="1"/>
  <c r="X330" i="1"/>
  <c r="W330" i="1"/>
  <c r="Z329" i="1"/>
  <c r="W329" i="1"/>
  <c r="Z328" i="1"/>
  <c r="Y328" i="1"/>
  <c r="X328" i="1"/>
  <c r="W328" i="1"/>
  <c r="Z327" i="1"/>
  <c r="Y327" i="1"/>
  <c r="X327" i="1"/>
  <c r="W327" i="1"/>
  <c r="Z326" i="1"/>
  <c r="Y326" i="1"/>
  <c r="X326" i="1"/>
  <c r="W326" i="1"/>
  <c r="Z325" i="1"/>
  <c r="Y325" i="1"/>
  <c r="X325" i="1"/>
  <c r="W325" i="1"/>
  <c r="Z324" i="1"/>
  <c r="Y324" i="1"/>
  <c r="X324" i="1"/>
  <c r="W324" i="1"/>
  <c r="Z323" i="1"/>
  <c r="Y323" i="1"/>
  <c r="X323" i="1"/>
  <c r="W323" i="1"/>
  <c r="Z322" i="1"/>
  <c r="Y322" i="1"/>
  <c r="X322" i="1"/>
  <c r="W322" i="1"/>
  <c r="Z321" i="1"/>
  <c r="Y321" i="1"/>
  <c r="X321" i="1"/>
  <c r="W321" i="1"/>
  <c r="Z320" i="1"/>
  <c r="Y320" i="1"/>
  <c r="X320" i="1"/>
  <c r="W320" i="1"/>
  <c r="Z319" i="1"/>
  <c r="Y319" i="1"/>
  <c r="X319" i="1"/>
  <c r="W319" i="1"/>
  <c r="Z318" i="1"/>
  <c r="Y318" i="1"/>
  <c r="X318" i="1"/>
  <c r="W318" i="1"/>
  <c r="Z317" i="1"/>
  <c r="Y317" i="1"/>
  <c r="X317" i="1"/>
  <c r="W317" i="1"/>
  <c r="Z316" i="1"/>
  <c r="Y316" i="1"/>
  <c r="X316" i="1"/>
  <c r="W316" i="1"/>
  <c r="Z315" i="1"/>
  <c r="Y315" i="1"/>
  <c r="X315" i="1"/>
  <c r="W315" i="1"/>
  <c r="Z314" i="1"/>
  <c r="Y314" i="1"/>
  <c r="X314" i="1"/>
  <c r="W314" i="1"/>
  <c r="Z313" i="1"/>
  <c r="Y313" i="1"/>
  <c r="X313" i="1"/>
  <c r="W313" i="1"/>
  <c r="Z312" i="1"/>
  <c r="Y312" i="1"/>
  <c r="X312" i="1"/>
  <c r="W312" i="1"/>
  <c r="Z311" i="1"/>
  <c r="Y311" i="1"/>
  <c r="X311" i="1"/>
  <c r="W311" i="1"/>
  <c r="Z310" i="1"/>
  <c r="Y310" i="1"/>
  <c r="X310" i="1"/>
  <c r="W310" i="1"/>
  <c r="Z308" i="1"/>
  <c r="Y308" i="1"/>
  <c r="X308" i="1"/>
  <c r="W308" i="1"/>
  <c r="Z307" i="1"/>
  <c r="Y307" i="1"/>
  <c r="X307" i="1"/>
  <c r="W307" i="1"/>
  <c r="Z306" i="1"/>
  <c r="Y306" i="1"/>
  <c r="X306" i="1"/>
  <c r="W306" i="1"/>
  <c r="Z305" i="1"/>
  <c r="Y305" i="1"/>
  <c r="X305" i="1"/>
  <c r="W305" i="1"/>
  <c r="Z304" i="1"/>
  <c r="Y304" i="1"/>
  <c r="X304" i="1"/>
  <c r="W304" i="1"/>
  <c r="Z303" i="1"/>
  <c r="Y303" i="1"/>
  <c r="X303" i="1"/>
  <c r="W303" i="1"/>
  <c r="Z302" i="1"/>
  <c r="Y302" i="1"/>
  <c r="X302" i="1"/>
  <c r="W302" i="1"/>
  <c r="Z301" i="1"/>
  <c r="Y301" i="1"/>
  <c r="X301" i="1"/>
  <c r="W301" i="1"/>
  <c r="Z300" i="1"/>
  <c r="Y300" i="1"/>
  <c r="X300" i="1"/>
  <c r="W300" i="1"/>
  <c r="Z299" i="1"/>
  <c r="Y299" i="1"/>
  <c r="X299" i="1"/>
  <c r="W299" i="1"/>
  <c r="Z309" i="1"/>
  <c r="W309" i="1"/>
  <c r="V309" i="1"/>
  <c r="Y309" i="1" s="1"/>
  <c r="U309" i="1"/>
  <c r="X309" i="1" s="1"/>
  <c r="Z251" i="1"/>
  <c r="W251" i="1"/>
  <c r="V253" i="1"/>
  <c r="U253" i="1"/>
  <c r="U252" i="1"/>
  <c r="Z265" i="1"/>
  <c r="W265" i="1"/>
  <c r="V266" i="1"/>
  <c r="U266" i="1"/>
  <c r="V477" i="1"/>
  <c r="U477" i="1"/>
  <c r="V409" i="1"/>
  <c r="U409" i="1"/>
  <c r="V294" i="1"/>
  <c r="U294" i="1"/>
  <c r="Z194" i="1"/>
  <c r="W194" i="1"/>
  <c r="V194" i="1"/>
  <c r="Y194" i="1" s="1"/>
  <c r="U194" i="1"/>
  <c r="X194" i="1" s="1"/>
  <c r="Z385" i="1"/>
  <c r="W385" i="1"/>
  <c r="V386" i="1"/>
  <c r="U386" i="1"/>
  <c r="U385" i="1"/>
  <c r="X385" i="1" s="1"/>
  <c r="V551" i="1"/>
  <c r="U551" i="1"/>
  <c r="Z498" i="1"/>
  <c r="W498" i="1"/>
  <c r="V499" i="1"/>
  <c r="U499" i="1"/>
  <c r="Z562" i="1"/>
  <c r="Z560" i="1"/>
  <c r="Y560" i="1"/>
  <c r="X560" i="1"/>
  <c r="W560" i="1"/>
  <c r="Z558" i="1"/>
  <c r="Y558" i="1"/>
  <c r="X558" i="1"/>
  <c r="W558" i="1"/>
  <c r="Z556" i="1"/>
  <c r="Y556" i="1"/>
  <c r="X556" i="1"/>
  <c r="W556" i="1"/>
  <c r="Z554" i="1"/>
  <c r="Y554" i="1"/>
  <c r="X554" i="1"/>
  <c r="W554" i="1"/>
  <c r="Z552" i="1"/>
  <c r="Y552" i="1"/>
  <c r="X552" i="1"/>
  <c r="W552" i="1"/>
  <c r="Z551" i="1"/>
  <c r="Y551" i="1"/>
  <c r="X551" i="1"/>
  <c r="W551" i="1"/>
  <c r="Z549" i="1"/>
  <c r="Y549" i="1"/>
  <c r="X549" i="1"/>
  <c r="W549" i="1"/>
  <c r="W398" i="1"/>
  <c r="Z406" i="1"/>
  <c r="W406" i="1"/>
  <c r="V407" i="1"/>
  <c r="U407" i="1"/>
  <c r="V525" i="1"/>
  <c r="U525" i="1"/>
  <c r="Z453" i="1"/>
  <c r="W453" i="1"/>
  <c r="V454" i="1"/>
  <c r="U454" i="1"/>
  <c r="Z451" i="1"/>
  <c r="W451" i="1"/>
  <c r="V452" i="1"/>
  <c r="U452" i="1"/>
  <c r="Z449" i="1"/>
  <c r="W449" i="1"/>
  <c r="V450" i="1"/>
  <c r="U450" i="1"/>
  <c r="Z447" i="1"/>
  <c r="W447" i="1"/>
  <c r="V448" i="1"/>
  <c r="U448" i="1"/>
  <c r="U449" i="1"/>
  <c r="Z445" i="1"/>
  <c r="W445" i="1"/>
  <c r="V446" i="1"/>
  <c r="U446" i="1"/>
  <c r="Z443" i="1"/>
  <c r="W443" i="1"/>
  <c r="V444" i="1"/>
  <c r="U444" i="1"/>
  <c r="Z441" i="1"/>
  <c r="W441" i="1"/>
  <c r="V442" i="1"/>
  <c r="U442" i="1"/>
  <c r="Z439" i="1"/>
  <c r="W439" i="1"/>
  <c r="V440" i="1"/>
  <c r="U440" i="1"/>
  <c r="Z437" i="1"/>
  <c r="W437" i="1"/>
  <c r="V438" i="1"/>
  <c r="U438" i="1"/>
  <c r="Z435" i="1"/>
  <c r="W435" i="1"/>
  <c r="V436" i="1"/>
  <c r="U436" i="1"/>
  <c r="Z433" i="1"/>
  <c r="W433" i="1"/>
  <c r="V434" i="1"/>
  <c r="U434" i="1"/>
  <c r="Z431" i="1"/>
  <c r="W431" i="1"/>
  <c r="V432" i="1"/>
  <c r="U432" i="1"/>
  <c r="Z429" i="1"/>
  <c r="W429" i="1"/>
  <c r="V430" i="1"/>
  <c r="U430" i="1"/>
  <c r="Z427" i="1"/>
  <c r="W427" i="1"/>
  <c r="V428" i="1"/>
  <c r="U428" i="1"/>
  <c r="Z425" i="1"/>
  <c r="W425" i="1"/>
  <c r="V426" i="1"/>
  <c r="U426" i="1"/>
  <c r="U427" i="1"/>
  <c r="Z423" i="1"/>
  <c r="W423" i="1"/>
  <c r="V424" i="1"/>
  <c r="U424" i="1"/>
  <c r="Z421" i="1"/>
  <c r="W421" i="1"/>
  <c r="V422" i="1"/>
  <c r="U422" i="1"/>
  <c r="Z419" i="1"/>
  <c r="W419" i="1"/>
  <c r="V420" i="1"/>
  <c r="U420" i="1"/>
  <c r="Z212" i="1"/>
  <c r="W212" i="1"/>
  <c r="V215" i="1"/>
  <c r="U215" i="1"/>
  <c r="V214" i="1"/>
  <c r="U214" i="1"/>
  <c r="W211" i="1"/>
  <c r="V406" i="1"/>
  <c r="U406" i="1"/>
  <c r="V524" i="1"/>
  <c r="Y524" i="1" s="1"/>
  <c r="U524" i="1"/>
  <c r="X524" i="1" s="1"/>
  <c r="V453" i="1"/>
  <c r="U453" i="1"/>
  <c r="V451" i="1"/>
  <c r="U451" i="1"/>
  <c r="V449" i="1"/>
  <c r="V447" i="1"/>
  <c r="U447" i="1"/>
  <c r="V445" i="1"/>
  <c r="U445" i="1"/>
  <c r="V443" i="1"/>
  <c r="U443" i="1"/>
  <c r="V441" i="1"/>
  <c r="U441" i="1"/>
  <c r="V439" i="1"/>
  <c r="U439" i="1"/>
  <c r="V437" i="1"/>
  <c r="U437" i="1"/>
  <c r="V435" i="1"/>
  <c r="U435" i="1"/>
  <c r="V433" i="1"/>
  <c r="U433" i="1"/>
  <c r="V431" i="1"/>
  <c r="U431" i="1"/>
  <c r="V429" i="1"/>
  <c r="U429" i="1"/>
  <c r="V427" i="1"/>
  <c r="V425" i="1"/>
  <c r="U425" i="1"/>
  <c r="V423" i="1"/>
  <c r="U423" i="1"/>
  <c r="V421" i="1"/>
  <c r="U421" i="1"/>
  <c r="V419" i="1"/>
  <c r="U419" i="1"/>
  <c r="Z209" i="1"/>
  <c r="Y209" i="1"/>
  <c r="X209" i="1"/>
  <c r="W209" i="1"/>
  <c r="Z208" i="1"/>
  <c r="Y208" i="1"/>
  <c r="X208" i="1"/>
  <c r="W208" i="1"/>
  <c r="Z207" i="1"/>
  <c r="Y207" i="1"/>
  <c r="X207" i="1"/>
  <c r="W207" i="1"/>
  <c r="Z206" i="1"/>
  <c r="Y206" i="1"/>
  <c r="X206" i="1"/>
  <c r="W206" i="1"/>
  <c r="Z205" i="1"/>
  <c r="Y205" i="1"/>
  <c r="X205" i="1"/>
  <c r="W205" i="1"/>
  <c r="Z219" i="1"/>
  <c r="Y219" i="1"/>
  <c r="X219" i="1"/>
  <c r="W219" i="1"/>
  <c r="Z218" i="1"/>
  <c r="Y218" i="1"/>
  <c r="X218" i="1"/>
  <c r="W218" i="1"/>
  <c r="V211" i="1"/>
  <c r="Y211" i="1" s="1"/>
  <c r="U211" i="1"/>
  <c r="V213" i="1"/>
  <c r="U213" i="1"/>
  <c r="W216" i="1"/>
  <c r="V217" i="1"/>
  <c r="U217" i="1"/>
  <c r="V274" i="1"/>
  <c r="Y274" i="1" s="1"/>
  <c r="U274" i="1"/>
  <c r="X274" i="1" s="1"/>
  <c r="Z278" i="1"/>
  <c r="Y278" i="1"/>
  <c r="X278" i="1"/>
  <c r="W278" i="1"/>
  <c r="Z277" i="1"/>
  <c r="Y277" i="1"/>
  <c r="X277" i="1"/>
  <c r="W277" i="1"/>
  <c r="Z276" i="1"/>
  <c r="Y276" i="1"/>
  <c r="X276" i="1"/>
  <c r="W276" i="1"/>
  <c r="V272" i="1"/>
  <c r="U272" i="1"/>
  <c r="V271" i="1"/>
  <c r="Y271" i="1" s="1"/>
  <c r="U271" i="1"/>
  <c r="X271" i="1" s="1"/>
  <c r="V233" i="1"/>
  <c r="V232" i="1"/>
  <c r="V231" i="1"/>
  <c r="U233" i="1"/>
  <c r="U232" i="1"/>
  <c r="U231" i="1"/>
  <c r="Z289" i="1"/>
  <c r="Y289" i="1"/>
  <c r="X289" i="1"/>
  <c r="W289" i="1"/>
  <c r="Z288" i="1"/>
  <c r="Y288" i="1"/>
  <c r="X288" i="1"/>
  <c r="W288" i="1"/>
  <c r="Z287" i="1"/>
  <c r="Y287" i="1"/>
  <c r="X287" i="1"/>
  <c r="W287" i="1"/>
  <c r="Z286" i="1"/>
  <c r="Y286" i="1"/>
  <c r="X286" i="1"/>
  <c r="W286" i="1"/>
  <c r="Z285" i="1"/>
  <c r="Y285" i="1"/>
  <c r="X285" i="1"/>
  <c r="W285" i="1"/>
  <c r="Z284" i="1"/>
  <c r="Y284" i="1"/>
  <c r="X284" i="1"/>
  <c r="W284" i="1"/>
  <c r="Z283" i="1"/>
  <c r="Y283" i="1"/>
  <c r="X283" i="1"/>
  <c r="W283" i="1"/>
  <c r="Z294" i="1"/>
  <c r="Y294" i="1"/>
  <c r="X294" i="1"/>
  <c r="W294" i="1"/>
  <c r="V292" i="1"/>
  <c r="Y292" i="1" s="1"/>
  <c r="U292" i="1"/>
  <c r="X292" i="1" s="1"/>
  <c r="Z281" i="1"/>
  <c r="W281" i="1"/>
  <c r="Z280" i="1"/>
  <c r="Y280" i="1"/>
  <c r="X280" i="1"/>
  <c r="W280" i="1"/>
  <c r="V281" i="1"/>
  <c r="Y281" i="1" s="1"/>
  <c r="U281" i="1"/>
  <c r="X281" i="1" s="1"/>
  <c r="Z351" i="1"/>
  <c r="Y351" i="1"/>
  <c r="X351" i="1"/>
  <c r="W351" i="1"/>
  <c r="Z350" i="1"/>
  <c r="Y350" i="1"/>
  <c r="X350" i="1"/>
  <c r="W350" i="1"/>
  <c r="Z349" i="1"/>
  <c r="Y349" i="1"/>
  <c r="X349" i="1"/>
  <c r="W349" i="1"/>
  <c r="Z348" i="1"/>
  <c r="Y348" i="1"/>
  <c r="X348" i="1"/>
  <c r="W348" i="1"/>
  <c r="Z347" i="1"/>
  <c r="Y347" i="1"/>
  <c r="X347" i="1"/>
  <c r="W347" i="1"/>
  <c r="Z346" i="1"/>
  <c r="Y346" i="1"/>
  <c r="X346" i="1"/>
  <c r="W346" i="1"/>
  <c r="Z345" i="1"/>
  <c r="Y345" i="1"/>
  <c r="X345" i="1"/>
  <c r="W345" i="1"/>
  <c r="Z344" i="1"/>
  <c r="Y344" i="1"/>
  <c r="X344" i="1"/>
  <c r="W344" i="1"/>
  <c r="Z343" i="1"/>
  <c r="Y343" i="1"/>
  <c r="X343" i="1"/>
  <c r="W343" i="1"/>
  <c r="Z342" i="1"/>
  <c r="Y342" i="1"/>
  <c r="X342" i="1"/>
  <c r="W342" i="1"/>
  <c r="Z360" i="1"/>
  <c r="W360" i="1"/>
  <c r="Z359" i="1"/>
  <c r="Y359" i="1"/>
  <c r="X359" i="1"/>
  <c r="W359" i="1"/>
  <c r="V360" i="1"/>
  <c r="Y360" i="1" s="1"/>
  <c r="U360" i="1"/>
  <c r="X360" i="1" s="1"/>
  <c r="V128" i="1"/>
  <c r="U128" i="1"/>
  <c r="V514" i="1"/>
  <c r="Y514" i="1" s="1"/>
  <c r="U514" i="1"/>
  <c r="X514" i="1" s="1"/>
  <c r="U216" i="1"/>
  <c r="V212" i="1"/>
  <c r="U212" i="1"/>
  <c r="Z411" i="1"/>
  <c r="Y411" i="1"/>
  <c r="X411" i="1"/>
  <c r="W411" i="1"/>
  <c r="Z409" i="1"/>
  <c r="Y409" i="1"/>
  <c r="X409" i="1"/>
  <c r="W409" i="1"/>
  <c r="Z404" i="1"/>
  <c r="Y404" i="1"/>
  <c r="X404" i="1"/>
  <c r="W404" i="1"/>
  <c r="Z403" i="1"/>
  <c r="Y403" i="1"/>
  <c r="X403" i="1"/>
  <c r="W403" i="1"/>
  <c r="Z402" i="1"/>
  <c r="Y402" i="1"/>
  <c r="X402" i="1"/>
  <c r="W402" i="1"/>
  <c r="Z455" i="1"/>
  <c r="Y455" i="1"/>
  <c r="X455" i="1"/>
  <c r="W455" i="1"/>
  <c r="W493" i="1"/>
  <c r="Z493" i="1"/>
  <c r="Z491" i="1"/>
  <c r="Y491" i="1"/>
  <c r="X491" i="1"/>
  <c r="W491" i="1"/>
  <c r="Z489" i="1"/>
  <c r="Y489" i="1"/>
  <c r="X489" i="1"/>
  <c r="W489" i="1"/>
  <c r="Z488" i="1"/>
  <c r="Y488" i="1"/>
  <c r="X488" i="1"/>
  <c r="W488" i="1"/>
  <c r="Z487" i="1"/>
  <c r="Y487" i="1"/>
  <c r="X487" i="1"/>
  <c r="W487" i="1"/>
  <c r="Z486" i="1"/>
  <c r="Y486" i="1"/>
  <c r="X486" i="1"/>
  <c r="W486" i="1"/>
  <c r="Z485" i="1"/>
  <c r="Y485" i="1"/>
  <c r="X485" i="1"/>
  <c r="W485" i="1"/>
  <c r="Z484" i="1"/>
  <c r="Y484" i="1"/>
  <c r="X484" i="1"/>
  <c r="W484" i="1"/>
  <c r="Z483" i="1"/>
  <c r="Y483" i="1"/>
  <c r="X483" i="1"/>
  <c r="W483" i="1"/>
  <c r="Z482" i="1"/>
  <c r="Y482" i="1"/>
  <c r="X482" i="1"/>
  <c r="W482" i="1"/>
  <c r="Z481" i="1"/>
  <c r="Y481" i="1"/>
  <c r="X481" i="1"/>
  <c r="W481" i="1"/>
  <c r="Z480" i="1"/>
  <c r="Y480" i="1"/>
  <c r="X480" i="1"/>
  <c r="W480" i="1"/>
  <c r="Z479" i="1"/>
  <c r="Y479" i="1"/>
  <c r="X479" i="1"/>
  <c r="W479" i="1"/>
  <c r="Z478" i="1"/>
  <c r="Y478" i="1"/>
  <c r="X478" i="1"/>
  <c r="W478" i="1"/>
  <c r="Z477" i="1"/>
  <c r="Y477" i="1"/>
  <c r="X477" i="1"/>
  <c r="W477" i="1"/>
  <c r="Z475" i="1"/>
  <c r="Y475" i="1"/>
  <c r="X475" i="1"/>
  <c r="W475" i="1"/>
  <c r="Z512" i="1"/>
  <c r="Y512" i="1"/>
  <c r="X512" i="1"/>
  <c r="W512" i="1"/>
  <c r="Z511" i="1"/>
  <c r="Y511" i="1"/>
  <c r="X511" i="1"/>
  <c r="W511" i="1"/>
  <c r="Z510" i="1"/>
  <c r="Y510" i="1"/>
  <c r="X510" i="1"/>
  <c r="W510" i="1"/>
  <c r="Z509" i="1"/>
  <c r="Y509" i="1"/>
  <c r="X509" i="1"/>
  <c r="W509" i="1"/>
  <c r="Z508" i="1"/>
  <c r="Y508" i="1"/>
  <c r="X508" i="1"/>
  <c r="W508" i="1"/>
  <c r="Z507" i="1"/>
  <c r="Y507" i="1"/>
  <c r="X507" i="1"/>
  <c r="W507" i="1"/>
  <c r="Z506" i="1"/>
  <c r="Y506" i="1"/>
  <c r="X506" i="1"/>
  <c r="W506" i="1"/>
  <c r="Z505" i="1"/>
  <c r="Y505" i="1"/>
  <c r="X505" i="1"/>
  <c r="W505" i="1"/>
  <c r="Z504" i="1"/>
  <c r="Y504" i="1"/>
  <c r="X504" i="1"/>
  <c r="W504" i="1"/>
  <c r="Z503" i="1"/>
  <c r="Y503" i="1"/>
  <c r="X503" i="1"/>
  <c r="W503" i="1"/>
  <c r="Z502" i="1"/>
  <c r="Y502" i="1"/>
  <c r="X502" i="1"/>
  <c r="W502" i="1"/>
  <c r="Z501" i="1"/>
  <c r="Y501" i="1"/>
  <c r="X501" i="1"/>
  <c r="W501" i="1"/>
  <c r="Z514" i="1"/>
  <c r="W514" i="1"/>
  <c r="Z516" i="1"/>
  <c r="Y516" i="1"/>
  <c r="X516" i="1"/>
  <c r="W516" i="1"/>
  <c r="Z518" i="1"/>
  <c r="Y518" i="1"/>
  <c r="X518" i="1"/>
  <c r="W518" i="1"/>
  <c r="Z521" i="1"/>
  <c r="Y521" i="1"/>
  <c r="X521" i="1"/>
  <c r="W521" i="1"/>
  <c r="Z520" i="1"/>
  <c r="Y520" i="1"/>
  <c r="X520" i="1"/>
  <c r="W520" i="1"/>
  <c r="Z526" i="1"/>
  <c r="Y526" i="1"/>
  <c r="X526" i="1"/>
  <c r="W526" i="1"/>
  <c r="Z523" i="1"/>
  <c r="Y523" i="1"/>
  <c r="X523" i="1"/>
  <c r="W523" i="1"/>
  <c r="Z547" i="1"/>
  <c r="Y547" i="1"/>
  <c r="X547" i="1"/>
  <c r="W547" i="1"/>
  <c r="Z545" i="1"/>
  <c r="Y545" i="1"/>
  <c r="X545" i="1"/>
  <c r="W545" i="1"/>
  <c r="Z544" i="1"/>
  <c r="Y544" i="1"/>
  <c r="X544" i="1"/>
  <c r="W544" i="1"/>
  <c r="Z542" i="1"/>
  <c r="Y542" i="1"/>
  <c r="X542" i="1"/>
  <c r="W542" i="1"/>
  <c r="Z540" i="1"/>
  <c r="Y540" i="1"/>
  <c r="X540" i="1"/>
  <c r="W540" i="1"/>
  <c r="Z538" i="1"/>
  <c r="Y538" i="1"/>
  <c r="X538" i="1"/>
  <c r="W538" i="1"/>
  <c r="Z537" i="1"/>
  <c r="Y537" i="1"/>
  <c r="X537" i="1"/>
  <c r="W537" i="1"/>
  <c r="Z535" i="1"/>
  <c r="Y535" i="1"/>
  <c r="X535" i="1"/>
  <c r="W535" i="1"/>
  <c r="Y531" i="1"/>
  <c r="R362" i="1"/>
  <c r="V362" i="1"/>
  <c r="U362" i="1"/>
  <c r="V230" i="1"/>
  <c r="U230" i="1"/>
  <c r="X230" i="1" s="1"/>
  <c r="R230" i="1"/>
  <c r="Z230" i="1" s="1"/>
  <c r="V216" i="1"/>
  <c r="R216" i="1"/>
  <c r="Z216" i="1" s="1"/>
  <c r="R186" i="1"/>
  <c r="R185" i="1"/>
  <c r="R226" i="1"/>
  <c r="Z226" i="1" s="1"/>
  <c r="Z471" i="1"/>
  <c r="W471" i="1"/>
  <c r="Z470" i="1"/>
  <c r="W470" i="1"/>
  <c r="V471" i="1"/>
  <c r="Y471" i="1" s="1"/>
  <c r="U471" i="1"/>
  <c r="X471" i="1" s="1"/>
  <c r="V470" i="1"/>
  <c r="Y470" i="1" s="1"/>
  <c r="U470" i="1"/>
  <c r="X470" i="1" s="1"/>
  <c r="Z469" i="1"/>
  <c r="W469" i="1"/>
  <c r="Z468" i="1"/>
  <c r="W468" i="1"/>
  <c r="V469" i="1"/>
  <c r="Y469" i="1" s="1"/>
  <c r="U469" i="1"/>
  <c r="X469" i="1" s="1"/>
  <c r="V468" i="1"/>
  <c r="Y468" i="1" s="1"/>
  <c r="U468" i="1"/>
  <c r="X468" i="1" s="1"/>
  <c r="Z467" i="1"/>
  <c r="W467" i="1"/>
  <c r="V467" i="1"/>
  <c r="Y467" i="1" s="1"/>
  <c r="U467" i="1"/>
  <c r="X467" i="1" s="1"/>
  <c r="Z466" i="1"/>
  <c r="W466" i="1"/>
  <c r="V466" i="1"/>
  <c r="Y466" i="1" s="1"/>
  <c r="U466" i="1"/>
  <c r="X466" i="1" s="1"/>
  <c r="Z465" i="1"/>
  <c r="W465" i="1"/>
  <c r="V465" i="1"/>
  <c r="Y465" i="1" s="1"/>
  <c r="U465" i="1"/>
  <c r="X465" i="1" s="1"/>
  <c r="Z464" i="1"/>
  <c r="W464" i="1"/>
  <c r="V464" i="1"/>
  <c r="Y464" i="1" s="1"/>
  <c r="U464" i="1"/>
  <c r="X464" i="1" s="1"/>
  <c r="Z463" i="1"/>
  <c r="W463" i="1"/>
  <c r="V463" i="1"/>
  <c r="Y463" i="1" s="1"/>
  <c r="U463" i="1"/>
  <c r="X463" i="1" s="1"/>
  <c r="Z462" i="1"/>
  <c r="W462" i="1"/>
  <c r="Z461" i="1"/>
  <c r="W461" i="1"/>
  <c r="V462" i="1"/>
  <c r="Y462" i="1" s="1"/>
  <c r="U462" i="1"/>
  <c r="X462" i="1" s="1"/>
  <c r="V461" i="1"/>
  <c r="Y461" i="1" s="1"/>
  <c r="U461" i="1"/>
  <c r="X461" i="1" s="1"/>
  <c r="Z460" i="1"/>
  <c r="W460" i="1"/>
  <c r="Z459" i="1"/>
  <c r="W459" i="1"/>
  <c r="V460" i="1"/>
  <c r="Y460" i="1" s="1"/>
  <c r="U460" i="1"/>
  <c r="X460" i="1" s="1"/>
  <c r="V459" i="1"/>
  <c r="Y459" i="1" s="1"/>
  <c r="U459" i="1"/>
  <c r="X459" i="1" s="1"/>
  <c r="Z458" i="1"/>
  <c r="W458" i="1"/>
  <c r="V458" i="1"/>
  <c r="Y458" i="1" s="1"/>
  <c r="U458" i="1"/>
  <c r="X458" i="1" s="1"/>
  <c r="Z457" i="1"/>
  <c r="W457" i="1"/>
  <c r="V457" i="1"/>
  <c r="Y457" i="1" s="1"/>
  <c r="U457" i="1"/>
  <c r="X457" i="1" s="1"/>
  <c r="Z473" i="1"/>
  <c r="W473" i="1"/>
  <c r="V473" i="1"/>
  <c r="Y473" i="1" s="1"/>
  <c r="U473" i="1"/>
  <c r="X473" i="1" s="1"/>
  <c r="Z415" i="1"/>
  <c r="W415" i="1"/>
  <c r="Z414" i="1"/>
  <c r="W414" i="1"/>
  <c r="V415" i="1"/>
  <c r="Y415" i="1" s="1"/>
  <c r="U415" i="1"/>
  <c r="X415" i="1" s="1"/>
  <c r="V414" i="1"/>
  <c r="Y414" i="1" s="1"/>
  <c r="U414" i="1"/>
  <c r="X414" i="1" s="1"/>
  <c r="Z413" i="1"/>
  <c r="W413" i="1"/>
  <c r="V413" i="1"/>
  <c r="Y413" i="1" s="1"/>
  <c r="U413" i="1"/>
  <c r="X413" i="1" s="1"/>
  <c r="Z496" i="1"/>
  <c r="W496" i="1"/>
  <c r="Z495" i="1"/>
  <c r="W495" i="1"/>
  <c r="V498" i="1"/>
  <c r="Y498" i="1" s="1"/>
  <c r="V496" i="1"/>
  <c r="Y496" i="1" s="1"/>
  <c r="U496" i="1"/>
  <c r="X496" i="1" s="1"/>
  <c r="V495" i="1"/>
  <c r="Y495" i="1" s="1"/>
  <c r="U495" i="1"/>
  <c r="X495" i="1" s="1"/>
  <c r="U398" i="1"/>
  <c r="X398" i="1" s="1"/>
  <c r="V493" i="1"/>
  <c r="Y493" i="1" s="1"/>
  <c r="U493" i="1"/>
  <c r="X493" i="1" s="1"/>
  <c r="U498" i="1"/>
  <c r="X498" i="1" s="1"/>
  <c r="Z378" i="1"/>
  <c r="W378" i="1"/>
  <c r="V378" i="1"/>
  <c r="Y378" i="1" s="1"/>
  <c r="X378" i="1"/>
  <c r="U376" i="1"/>
  <c r="U373" i="1"/>
  <c r="U390" i="1"/>
  <c r="U375" i="1"/>
  <c r="U367" i="1"/>
  <c r="X367" i="1" s="1"/>
  <c r="U251" i="1"/>
  <c r="U185" i="1"/>
  <c r="U180" i="1"/>
  <c r="X180" i="1" s="1"/>
  <c r="U388" i="1"/>
  <c r="X388" i="1" s="1"/>
  <c r="U372" i="1"/>
  <c r="U358" i="1"/>
  <c r="X358" i="1" s="1"/>
  <c r="U356" i="1"/>
  <c r="X356" i="1" s="1"/>
  <c r="U354" i="1"/>
  <c r="X354" i="1" s="1"/>
  <c r="U352" i="1"/>
  <c r="X352" i="1" s="1"/>
  <c r="U329" i="1"/>
  <c r="X329" i="1" s="1"/>
  <c r="U298" i="1"/>
  <c r="X298" i="1" s="1"/>
  <c r="U297" i="1"/>
  <c r="X297" i="1" s="1"/>
  <c r="U265" i="1"/>
  <c r="X265" i="1" s="1"/>
  <c r="U262" i="1"/>
  <c r="U258" i="1"/>
  <c r="X258" i="1" s="1"/>
  <c r="U245" i="1"/>
  <c r="X245" i="1" s="1"/>
  <c r="U244" i="1"/>
  <c r="X244" i="1" s="1"/>
  <c r="U243" i="1"/>
  <c r="X243" i="1" s="1"/>
  <c r="U242" i="1"/>
  <c r="X242" i="1" s="1"/>
  <c r="U77" i="1"/>
  <c r="U290" i="1"/>
  <c r="X290" i="1" s="1"/>
  <c r="W226" i="1"/>
  <c r="V226" i="1"/>
  <c r="Y226" i="1" s="1"/>
  <c r="U226" i="1"/>
  <c r="X226" i="1" s="1"/>
  <c r="U224" i="1"/>
  <c r="Z170" i="1"/>
  <c r="W170" i="1"/>
  <c r="X170" i="1"/>
  <c r="Y170" i="1"/>
  <c r="Z398" i="1"/>
  <c r="V398" i="1"/>
  <c r="Y398" i="1" s="1"/>
  <c r="Z184" i="1"/>
  <c r="W184" i="1"/>
  <c r="U184" i="1"/>
  <c r="X184" i="1" s="1"/>
  <c r="V184" i="1"/>
  <c r="Y184" i="1" s="1"/>
  <c r="W185" i="1"/>
  <c r="V186" i="1"/>
  <c r="U186" i="1"/>
  <c r="Z256" i="1"/>
  <c r="W256" i="1"/>
  <c r="U256" i="1"/>
  <c r="X256" i="1" s="1"/>
  <c r="V256" i="1"/>
  <c r="Y256" i="1" s="1"/>
  <c r="V252" i="1"/>
  <c r="Z77" i="1"/>
  <c r="W77" i="1"/>
  <c r="V78" i="1"/>
  <c r="U78" i="1"/>
  <c r="Z262" i="1"/>
  <c r="W262" i="1"/>
  <c r="V263" i="1"/>
  <c r="U263" i="1"/>
  <c r="Z382" i="1"/>
  <c r="W382" i="1"/>
  <c r="Z383" i="1"/>
  <c r="W383" i="1"/>
  <c r="Z367" i="1"/>
  <c r="W367" i="1"/>
  <c r="V383" i="1"/>
  <c r="Y383" i="1" s="1"/>
  <c r="U383" i="1"/>
  <c r="X383" i="1" s="1"/>
  <c r="U382" i="1"/>
  <c r="X382" i="1" s="1"/>
  <c r="V382" i="1"/>
  <c r="Y382" i="1" s="1"/>
  <c r="Z376" i="1"/>
  <c r="W376" i="1"/>
  <c r="V376" i="1"/>
  <c r="Y376" i="1" s="1"/>
  <c r="U172" i="1"/>
  <c r="X172" i="1" s="1"/>
  <c r="Z172" i="1"/>
  <c r="W172" i="1"/>
  <c r="V172" i="1"/>
  <c r="Y172" i="1" s="1"/>
  <c r="V385" i="1"/>
  <c r="Y385" i="1" s="1"/>
  <c r="Z390" i="1"/>
  <c r="W390" i="1"/>
  <c r="V391" i="1"/>
  <c r="U391" i="1"/>
  <c r="V390" i="1"/>
  <c r="V185" i="1"/>
  <c r="Z375" i="1"/>
  <c r="W375" i="1"/>
  <c r="V375" i="1"/>
  <c r="V367" i="1"/>
  <c r="Y367" i="1" s="1"/>
  <c r="Z372" i="1"/>
  <c r="W372" i="1"/>
  <c r="V373" i="1"/>
  <c r="V180" i="1"/>
  <c r="Y180" i="1" s="1"/>
  <c r="Z400" i="1"/>
  <c r="Y400" i="1"/>
  <c r="X400" i="1"/>
  <c r="W400" i="1"/>
  <c r="Z258" i="1"/>
  <c r="W258" i="1"/>
  <c r="V258" i="1"/>
  <c r="Y258" i="1" s="1"/>
  <c r="V77" i="1"/>
  <c r="Z388" i="1"/>
  <c r="W388" i="1"/>
  <c r="V388" i="1"/>
  <c r="Y388" i="1" s="1"/>
  <c r="V372" i="1"/>
  <c r="V262" i="1"/>
  <c r="V265" i="1"/>
  <c r="Y265" i="1" s="1"/>
  <c r="Z245" i="1"/>
  <c r="W245" i="1"/>
  <c r="V245" i="1"/>
  <c r="Y245" i="1" s="1"/>
  <c r="Z243" i="1"/>
  <c r="W243" i="1"/>
  <c r="V243" i="1"/>
  <c r="Y243" i="1" s="1"/>
  <c r="Z244" i="1"/>
  <c r="W244" i="1"/>
  <c r="V244" i="1"/>
  <c r="Y244" i="1" s="1"/>
  <c r="Z242" i="1"/>
  <c r="W242" i="1"/>
  <c r="V242" i="1"/>
  <c r="Y242" i="1" s="1"/>
  <c r="Z358" i="1"/>
  <c r="W358" i="1"/>
  <c r="V358" i="1"/>
  <c r="Y358" i="1" s="1"/>
  <c r="V356" i="1"/>
  <c r="Y356" i="1" s="1"/>
  <c r="V354" i="1"/>
  <c r="Y354" i="1" s="1"/>
  <c r="V352" i="1"/>
  <c r="Y352" i="1" s="1"/>
  <c r="V329" i="1"/>
  <c r="Y329" i="1" s="1"/>
  <c r="Z297" i="1"/>
  <c r="W297" i="1"/>
  <c r="V297" i="1"/>
  <c r="Y297" i="1" s="1"/>
  <c r="Z298" i="1"/>
  <c r="W298" i="1"/>
  <c r="V298" i="1"/>
  <c r="Y298" i="1" s="1"/>
  <c r="Z249" i="1"/>
  <c r="Y249" i="1"/>
  <c r="X249" i="1"/>
  <c r="W249" i="1"/>
  <c r="Z248" i="1"/>
  <c r="Y248" i="1"/>
  <c r="X248" i="1"/>
  <c r="W248" i="1"/>
  <c r="Z247" i="1"/>
  <c r="Y247" i="1"/>
  <c r="X247" i="1"/>
  <c r="W247" i="1"/>
  <c r="V290" i="1"/>
  <c r="Y290" i="1" s="1"/>
  <c r="Z282" i="1"/>
  <c r="Y282" i="1"/>
  <c r="X282" i="1"/>
  <c r="W282" i="1"/>
  <c r="V381" i="1"/>
  <c r="Y381" i="1" s="1"/>
  <c r="V259" i="1"/>
  <c r="Y259" i="1" s="1"/>
  <c r="V224" i="1"/>
  <c r="V222" i="1"/>
  <c r="Y222" i="1" s="1"/>
  <c r="V223" i="1"/>
  <c r="V221" i="1"/>
  <c r="Y221" i="1" s="1"/>
  <c r="Y182" i="1"/>
  <c r="Y187" i="1"/>
  <c r="Y188" i="1"/>
  <c r="Y190" i="1"/>
  <c r="Y192" i="1"/>
  <c r="Y195" i="1"/>
  <c r="Y196" i="1"/>
  <c r="Y197" i="1"/>
  <c r="Y198" i="1"/>
  <c r="Y200" i="1"/>
  <c r="Y227" i="1"/>
  <c r="Y228" i="1"/>
  <c r="Y237" i="1"/>
  <c r="Y238" i="1"/>
  <c r="Y239" i="1"/>
  <c r="Y241" i="1"/>
  <c r="Y254" i="1"/>
  <c r="Y255" i="1"/>
  <c r="Y257" i="1"/>
  <c r="Y260" i="1"/>
  <c r="Y267" i="1"/>
  <c r="Y268" i="1"/>
  <c r="Y269" i="1"/>
  <c r="Y296" i="1"/>
  <c r="Y333" i="1"/>
  <c r="Y380" i="1"/>
  <c r="Y387" i="1"/>
  <c r="Y389" i="1"/>
  <c r="Y392" i="1"/>
  <c r="Y393" i="1"/>
  <c r="Y394" i="1"/>
  <c r="Y410" i="1"/>
  <c r="Y416" i="1"/>
  <c r="Y417" i="1"/>
  <c r="Y179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1" i="1"/>
  <c r="Y173" i="1"/>
  <c r="Y174" i="1"/>
  <c r="Y175" i="1"/>
  <c r="Y176" i="1"/>
  <c r="Y177" i="1"/>
  <c r="Y178" i="1"/>
  <c r="Y153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34" i="1"/>
  <c r="Y131" i="1"/>
  <c r="Y132" i="1"/>
  <c r="Y130" i="1"/>
  <c r="Y128" i="1"/>
  <c r="Y126" i="1"/>
  <c r="Y124" i="1"/>
  <c r="Y119" i="1"/>
  <c r="V98" i="1"/>
  <c r="Y98" i="1" s="1"/>
  <c r="Y79" i="1"/>
  <c r="Y80" i="1"/>
  <c r="Y67" i="1"/>
  <c r="Y68" i="1"/>
  <c r="Y69" i="1"/>
  <c r="Y70" i="1"/>
  <c r="Y71" i="1"/>
  <c r="Y72" i="1"/>
  <c r="Y73" i="1"/>
  <c r="Y74" i="1"/>
  <c r="Y66" i="1"/>
  <c r="Y59" i="1"/>
  <c r="Y47" i="1"/>
  <c r="Y48" i="1"/>
  <c r="Y49" i="1"/>
  <c r="Y50" i="1"/>
  <c r="Y51" i="1"/>
  <c r="Y52" i="1"/>
  <c r="Y53" i="1"/>
  <c r="Y46" i="1"/>
  <c r="Y36" i="1"/>
  <c r="Y37" i="1"/>
  <c r="Y38" i="1"/>
  <c r="Y40" i="1"/>
  <c r="Y41" i="1"/>
  <c r="Y42" i="1"/>
  <c r="Y43" i="1"/>
  <c r="Y44" i="1"/>
  <c r="Y33" i="1"/>
  <c r="Y34" i="1"/>
  <c r="Y35" i="1"/>
  <c r="Y32" i="1"/>
  <c r="Y15" i="1"/>
  <c r="Y14" i="1"/>
  <c r="V117" i="1"/>
  <c r="Y117" i="1" s="1"/>
  <c r="V115" i="1"/>
  <c r="V114" i="1"/>
  <c r="Y114" i="1" s="1"/>
  <c r="V122" i="1"/>
  <c r="V121" i="1"/>
  <c r="V64" i="1"/>
  <c r="Y64" i="1" s="1"/>
  <c r="V63" i="1"/>
  <c r="V62" i="1"/>
  <c r="V60" i="1"/>
  <c r="V61" i="1"/>
  <c r="V57" i="1"/>
  <c r="Y57" i="1" s="1"/>
  <c r="V56" i="1"/>
  <c r="V55" i="1"/>
  <c r="V39" i="1"/>
  <c r="Y39" i="1" s="1"/>
  <c r="V30" i="1"/>
  <c r="Y30" i="1" s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Y16" i="1" s="1"/>
  <c r="Y3" i="1"/>
  <c r="Y4" i="1"/>
  <c r="Y5" i="1"/>
  <c r="Y6" i="1"/>
  <c r="Y7" i="1"/>
  <c r="Y8" i="1"/>
  <c r="Y9" i="1"/>
  <c r="Y10" i="1"/>
  <c r="Y11" i="1"/>
  <c r="Y12" i="1"/>
  <c r="Y2" i="1"/>
  <c r="X2" i="1"/>
  <c r="Z33" i="1"/>
  <c r="Z34" i="1"/>
  <c r="Z35" i="1"/>
  <c r="Z32" i="1"/>
  <c r="X33" i="1"/>
  <c r="X34" i="1"/>
  <c r="X35" i="1"/>
  <c r="X32" i="1"/>
  <c r="W34" i="1"/>
  <c r="W35" i="1"/>
  <c r="W33" i="1"/>
  <c r="W32" i="1"/>
  <c r="W259" i="1"/>
  <c r="U259" i="1"/>
  <c r="X259" i="1" s="1"/>
  <c r="R259" i="1"/>
  <c r="Z259" i="1" s="1"/>
  <c r="U56" i="1"/>
  <c r="Z221" i="1"/>
  <c r="W221" i="1"/>
  <c r="U221" i="1"/>
  <c r="X221" i="1" s="1"/>
  <c r="Z222" i="1"/>
  <c r="W222" i="1"/>
  <c r="U222" i="1"/>
  <c r="X222" i="1" s="1"/>
  <c r="W223" i="1"/>
  <c r="R224" i="1"/>
  <c r="R223" i="1"/>
  <c r="U223" i="1"/>
  <c r="Z124" i="1"/>
  <c r="X124" i="1"/>
  <c r="W124" i="1"/>
  <c r="Z14" i="1"/>
  <c r="W14" i="1"/>
  <c r="X14" i="1"/>
  <c r="Z20" i="1"/>
  <c r="W20" i="1"/>
  <c r="U21" i="1"/>
  <c r="Z17" i="1"/>
  <c r="W17" i="1"/>
  <c r="U19" i="1"/>
  <c r="U63" i="1"/>
  <c r="U61" i="1"/>
  <c r="Z59" i="1"/>
  <c r="X59" i="1"/>
  <c r="W59" i="1"/>
  <c r="Z55" i="1"/>
  <c r="W55" i="1"/>
  <c r="X200" i="1"/>
  <c r="W200" i="1"/>
  <c r="W30" i="1"/>
  <c r="W25" i="1"/>
  <c r="Z25" i="1"/>
  <c r="U29" i="1"/>
  <c r="Z117" i="1"/>
  <c r="U117" i="1"/>
  <c r="X117" i="1" s="1"/>
  <c r="U115" i="1"/>
  <c r="U114" i="1"/>
  <c r="U98" i="1"/>
  <c r="X98" i="1" s="1"/>
  <c r="Z64" i="1"/>
  <c r="U60" i="1"/>
  <c r="U62" i="1"/>
  <c r="U64" i="1"/>
  <c r="X64" i="1" s="1"/>
  <c r="U57" i="1"/>
  <c r="X57" i="1" s="1"/>
  <c r="U55" i="1"/>
  <c r="Z39" i="1"/>
  <c r="U39" i="1"/>
  <c r="X39" i="1" s="1"/>
  <c r="U28" i="1"/>
  <c r="U27" i="1"/>
  <c r="U26" i="1"/>
  <c r="U25" i="1"/>
  <c r="Z22" i="1"/>
  <c r="Z15" i="1"/>
  <c r="U16" i="1"/>
  <c r="X16" i="1" s="1"/>
  <c r="Z16" i="1"/>
  <c r="U22" i="1"/>
  <c r="U24" i="1"/>
  <c r="U23" i="1"/>
  <c r="W22" i="1"/>
  <c r="U20" i="1"/>
  <c r="W3" i="1"/>
  <c r="Z3" i="1"/>
  <c r="W4" i="1"/>
  <c r="Z4" i="1"/>
  <c r="W5" i="1"/>
  <c r="Z5" i="1"/>
  <c r="W6" i="1"/>
  <c r="Z6" i="1"/>
  <c r="W7" i="1"/>
  <c r="Z7" i="1"/>
  <c r="W8" i="1"/>
  <c r="Z8" i="1"/>
  <c r="W9" i="1"/>
  <c r="Z9" i="1"/>
  <c r="W10" i="1"/>
  <c r="Z10" i="1"/>
  <c r="W11" i="1"/>
  <c r="Z11" i="1"/>
  <c r="W12" i="1"/>
  <c r="Z12" i="1"/>
  <c r="Z2" i="1"/>
  <c r="U3" i="1"/>
  <c r="X3" i="1" s="1"/>
  <c r="U4" i="1"/>
  <c r="X4" i="1" s="1"/>
  <c r="U5" i="1"/>
  <c r="X5" i="1" s="1"/>
  <c r="U6" i="1"/>
  <c r="X6" i="1" s="1"/>
  <c r="U7" i="1"/>
  <c r="X7" i="1" s="1"/>
  <c r="U8" i="1"/>
  <c r="X8" i="1" s="1"/>
  <c r="U9" i="1"/>
  <c r="X9" i="1" s="1"/>
  <c r="U10" i="1"/>
  <c r="X10" i="1" s="1"/>
  <c r="U11" i="1"/>
  <c r="X11" i="1" s="1"/>
  <c r="U12" i="1"/>
  <c r="X12" i="1" s="1"/>
  <c r="U2" i="1"/>
  <c r="W2" i="1"/>
  <c r="U18" i="1"/>
  <c r="U17" i="1"/>
  <c r="W198" i="1"/>
  <c r="W197" i="1"/>
  <c r="W196" i="1"/>
  <c r="W195" i="1"/>
  <c r="W190" i="1"/>
  <c r="W192" i="1"/>
  <c r="J188" i="1"/>
  <c r="W188" i="1" s="1"/>
  <c r="W187" i="1"/>
  <c r="W182" i="1"/>
  <c r="W178" i="1"/>
  <c r="W177" i="1"/>
  <c r="W176" i="1"/>
  <c r="W175" i="1"/>
  <c r="W174" i="1"/>
  <c r="W173" i="1"/>
  <c r="W171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28" i="1"/>
  <c r="W117" i="1"/>
  <c r="W98" i="1"/>
  <c r="W80" i="1"/>
  <c r="W79" i="1"/>
  <c r="W64" i="1"/>
  <c r="W43" i="1"/>
  <c r="W42" i="1"/>
  <c r="W41" i="1"/>
  <c r="W40" i="1"/>
  <c r="W39" i="1"/>
  <c r="W38" i="1"/>
  <c r="W37" i="1"/>
  <c r="W36" i="1"/>
  <c r="W16" i="1"/>
  <c r="W15" i="1"/>
  <c r="X202" i="1" l="1"/>
  <c r="Y202" i="1"/>
  <c r="X251" i="1"/>
  <c r="V251" i="1"/>
  <c r="Y251" i="1" s="1"/>
  <c r="X429" i="1"/>
  <c r="X441" i="1"/>
  <c r="Y453" i="1"/>
  <c r="Y185" i="1"/>
  <c r="Y429" i="1"/>
  <c r="Y441" i="1"/>
  <c r="X406" i="1"/>
  <c r="Y427" i="1"/>
  <c r="X423" i="1"/>
  <c r="Y433" i="1"/>
  <c r="Y445" i="1"/>
  <c r="Y439" i="1"/>
  <c r="X421" i="1"/>
  <c r="Y435" i="1"/>
  <c r="Y423" i="1"/>
  <c r="Y431" i="1"/>
  <c r="X212" i="1"/>
  <c r="Y443" i="1"/>
  <c r="Y230" i="1"/>
  <c r="X453" i="1"/>
  <c r="Y223" i="1"/>
  <c r="X216" i="1"/>
  <c r="Y419" i="1"/>
  <c r="X433" i="1"/>
  <c r="Y406" i="1"/>
  <c r="Y216" i="1"/>
  <c r="X435" i="1"/>
  <c r="X447" i="1"/>
  <c r="Y437" i="1"/>
  <c r="X449" i="1"/>
  <c r="Y425" i="1"/>
  <c r="Y451" i="1"/>
  <c r="X431" i="1"/>
  <c r="X443" i="1"/>
  <c r="Y375" i="1"/>
  <c r="Y212" i="1"/>
  <c r="X419" i="1"/>
  <c r="X445" i="1"/>
  <c r="Y421" i="1"/>
  <c r="Y390" i="1"/>
  <c r="Y447" i="1"/>
  <c r="X437" i="1"/>
  <c r="Y449" i="1"/>
  <c r="X425" i="1"/>
  <c r="X451" i="1"/>
  <c r="X439" i="1"/>
  <c r="Y17" i="1"/>
  <c r="X427" i="1"/>
  <c r="X77" i="1"/>
  <c r="X390" i="1"/>
  <c r="X372" i="1"/>
  <c r="X375" i="1"/>
  <c r="X185" i="1"/>
  <c r="Y77" i="1"/>
  <c r="X262" i="1"/>
  <c r="Z185" i="1"/>
  <c r="Y262" i="1"/>
  <c r="Y22" i="1"/>
  <c r="Y372" i="1"/>
  <c r="X376" i="1"/>
  <c r="Y121" i="1"/>
  <c r="Y60" i="1"/>
  <c r="Y20" i="1"/>
  <c r="Y62" i="1"/>
  <c r="Y55" i="1"/>
  <c r="Y25" i="1"/>
  <c r="Z223" i="1"/>
  <c r="X223" i="1"/>
  <c r="X17" i="1"/>
  <c r="X20" i="1"/>
  <c r="X55" i="1"/>
  <c r="X25" i="1"/>
  <c r="X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tc={EA800C07-A33B-430D-A71D-4CC731527228}</author>
    <author>tc={7828D1D9-4022-4D85-9673-EF40414DF303}</author>
  </authors>
  <commentList>
    <comment ref="C271" authorId="0" shapeId="0" xr:uid="{EA800C07-A33B-430D-A71D-4CC731527228}">
      <text>
        <t>[Threaded comment]
Your version of Excel allows you to read this threaded comment; however, any edits to it will get removed if the file is opened in a newer version of Excel. Learn more: https://go.microsoft.com/fwlink/?linkid=870924
Comment:
    Huge gap on the Units</t>
      </text>
    </comment>
    <comment ref="C419" authorId="1" shapeId="0" xr:uid="{7828D1D9-4022-4D85-9673-EF40414DF303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Supplementary Units - In Red</t>
      </text>
    </comment>
  </commentList>
</comments>
</file>

<file path=xl/sharedStrings.xml><?xml version="1.0" encoding="utf-8"?>
<sst xmlns="http://schemas.openxmlformats.org/spreadsheetml/2006/main" count="2830" uniqueCount="965">
  <si>
    <t>PYRAMID PHARMA - KENYA</t>
  </si>
  <si>
    <t>N; 1; SYRINGE,LUER (SLIP),STERILE,21G needle,10ml; HUMAN; PYRAMID; 2; 36; 18; 21G; 1; 1;</t>
  </si>
  <si>
    <t>IMP/076</t>
  </si>
  <si>
    <t>26NBOIM707660727</t>
  </si>
  <si>
    <t>KE</t>
  </si>
  <si>
    <t>UNT</t>
  </si>
  <si>
    <t>N; 1; SYRINGE,LUER (SLIP),STERILE,W/O NEEDLE,10ML; HUMAN; PYRAMID; 3; 60; 20; W/O; 1; 1;</t>
  </si>
  <si>
    <t>N; 1; SYRINGE,LUER (SLIP),STERILE,21G NEEDLE,5ML; HUMAN; PYRAMID; 2; 41; 20; 21G; 1; 1;</t>
  </si>
  <si>
    <t>LUMN LABS PVT LTD - INDIA</t>
  </si>
  <si>
    <t>HIGH ENERGY/HIGH NUTRITIONAL FOOD( RUTF-READY TO USE THERAPEUTIC FOOD); RUTF 92GRAMS SACHETS; 1610; H; 241500; 150; BATCH NO.T-260301 -260 BOXES AND BATCH NO.T-260401-1350 BOXES; BX; 1;</t>
  </si>
  <si>
    <t>IMP/077/A</t>
  </si>
  <si>
    <t>26MBAIM704475796</t>
  </si>
  <si>
    <t>IN</t>
  </si>
  <si>
    <t>KG</t>
  </si>
  <si>
    <t>F-75 400 Grams Cannister (Foods preparations); F-75 400 Grams Cannister (Foods preparations); 828; H; 19872; 24; 828; CI; 1;</t>
  </si>
  <si>
    <t>IMP/077/B</t>
  </si>
  <si>
    <t>26MBAIM704475330</t>
  </si>
  <si>
    <t>F-100 Therapeutic Food; F-100 400 Grams Cannister (Foods preparations); CI; 24; 703; H; 16872; 703; 1;</t>
  </si>
  <si>
    <t>HIGH ENERGY/HIGH NUTRITIONAL FOOD; RUSF 100 Grams Sachets (Foods preparations); BX; 70; H; 10500; 150; 1;</t>
  </si>
  <si>
    <t>HIGH ENERGY/HIGH NUTRITIONAL FOOD; RUTF 92 Grams Sachets (Foods preparations); BX; 1503; H; 225450; 150; 1503; 1</t>
  </si>
  <si>
    <t>IMP/078</t>
  </si>
  <si>
    <t>26MBAIM704855159</t>
  </si>
  <si>
    <t>6,741,686,68</t>
  </si>
  <si>
    <t>HIGH ENERGY/HIGH NUTRITIONAL FOOD; RUSF 100 Grams Sachets (Foods preparations); BX; 100; H; 15000; 150; 100</t>
  </si>
  <si>
    <t xml:space="preserve">TULIP DIAGNOSTIC (P)  LTD - INDIA </t>
  </si>
  <si>
    <t>PARTASCREEN DEVICE -25T; PARTASCREEN DEVICE -25T; 150; 6000; 1;</t>
  </si>
  <si>
    <t>IMP/079</t>
  </si>
  <si>
    <t>26NBOIM709031630</t>
  </si>
  <si>
    <t>6,237,671.180</t>
  </si>
  <si>
    <t>125,004.00</t>
  </si>
  <si>
    <t>EGYPTIAN INTERNATIONAL PHARMACEUTICAL INDUSTRIES CO. - EGYPT</t>
  </si>
  <si>
    <t>EPICEPHIN 1 GM I.V. VIAL; EPICEPHIN 1 GM I.V. VIAL; 24000; BX; 240; 1; THERAPEUTIC; 1166; H; 100; 1;</t>
  </si>
  <si>
    <t>IMP/080</t>
  </si>
  <si>
    <t>26NBOIM709074103</t>
  </si>
  <si>
    <t>EG</t>
  </si>
  <si>
    <t>2,025,917.5300</t>
  </si>
  <si>
    <t>LABORATOIRE AGUETTANT - FRANCE</t>
  </si>
  <si>
    <t>WATER FOR INJECTION PROAMP 10ML B50 FR; WATER FOR INJECTION PROAMP 10ML B50 FR; BX; 100; 1; THERAPEUTIC; 1496; H; 2000; 1;</t>
  </si>
  <si>
    <t>IMP/081</t>
  </si>
  <si>
    <t>26NBOIM709065079</t>
  </si>
  <si>
    <t>FRANCE</t>
  </si>
  <si>
    <t>2,204,920.99</t>
  </si>
  <si>
    <t>Consignor / Exporter</t>
  </si>
  <si>
    <t>Description</t>
  </si>
  <si>
    <t>Import File Number</t>
  </si>
  <si>
    <t>Import Entry Date</t>
  </si>
  <si>
    <t>Import Entry Number</t>
  </si>
  <si>
    <t>HS code</t>
  </si>
  <si>
    <t xml:space="preserve">Country </t>
  </si>
  <si>
    <t>Supplementary Units (41a)</t>
  </si>
  <si>
    <t>Unit</t>
  </si>
  <si>
    <t>Quantity Imported (Repackaged Quantity)</t>
  </si>
  <si>
    <t xml:space="preserve">Customs Value KES </t>
  </si>
  <si>
    <t>BIF Value KES</t>
  </si>
  <si>
    <t>Customer Name</t>
  </si>
  <si>
    <t>Export File Number</t>
  </si>
  <si>
    <t>Export Entry Date</t>
  </si>
  <si>
    <t>Export Entry Number</t>
  </si>
  <si>
    <t>PPB Approved Export Permit Application Ref. Number</t>
  </si>
  <si>
    <t>Quantity Exported</t>
  </si>
  <si>
    <t>Customs Value</t>
  </si>
  <si>
    <t>Balance Quantity currently in the Warehouse</t>
  </si>
  <si>
    <t>Balance Customs Value</t>
  </si>
  <si>
    <t>Balance Supplementary Units (41a)</t>
  </si>
  <si>
    <t>TECHNO RELIEF SERVICES - KENYA</t>
  </si>
  <si>
    <t xml:space="preserve">WATER PURIFICATION TABLETS(SODIUM DICHLOISOCYANURATE 67mg,1TABLET/8-10LITERS); TECHNO </t>
  </si>
  <si>
    <t>IMP/000</t>
  </si>
  <si>
    <t>25NBOIM701162254</t>
  </si>
  <si>
    <t>IFRC SRCS- GAROWE (SOMALIA)</t>
  </si>
  <si>
    <t>EXP/002</t>
  </si>
  <si>
    <t>25NBOEX302333540</t>
  </si>
  <si>
    <t>CUP PLASTIC ,250ML GRADUATED WITH HANDLE MADE IN KENYA; PLASTIC CUP; TECHNO RELIEF; PK; 88; 10; N</t>
  </si>
  <si>
    <t xml:space="preserve">CUP PLASTIC ,500ML GRADUATED WITH HANDLE MADE IN KENYA; PLASTIC CUPS; TECHNO RELIEF; PK; 88; 10; N; </t>
  </si>
  <si>
    <t>JUG MEASURING 1 LITRE GRADUATED WITH BEAK AND HANDLE ,POLYPROPYLENE; JUGS; TECHNO RELIEF; PK; 77; 2; N;</t>
  </si>
  <si>
    <t>BUCKET PLASTIC (HDPE) 14 LT WITH COVER AND OUTLET TAP; PLASTIC BUCKETS; TECHNO RELIEF; PK; 77; 2; N</t>
  </si>
  <si>
    <t>ROPE POLYPROPLYNE 3mmx5m;</t>
  </si>
  <si>
    <t>KASUKU EXERCISE BOOKS HARD COVER 200PGS; 22; 1</t>
  </si>
  <si>
    <t>PENTONIC BALL PEN; PENTONIC; BALL PEN; 22; 1;</t>
  </si>
  <si>
    <t>JERRYCAN,FOOD GRADE LDPE FOLDABLE 10LT; JERRYCAN,FOOD GRADE LDPE; SPARTAN RELIEF; PK; 44; 12;</t>
  </si>
  <si>
    <t>BAR; DETTOL BAR SOAP; DETTOL BAR SOAP ORIGINAL 90G; HARLEYS LTD; PK; 110; 20; 1; 1;</t>
  </si>
  <si>
    <t>N; 10ML WITHOUT SYRINGE 2P.KINGS;  10ML WITHOUT SYRINGE 2P.KINGS; SYRINGES;  1; 22; 100; 1; STAINLESS STEEL; 0.5;</t>
  </si>
  <si>
    <t>AMEX HEALTHCARE GMBH - AUSTRIA</t>
  </si>
  <si>
    <t>ONDANSETRON 2 MG/ML SOLUTION FOR INJECTION; 15-25°C; PK; 100; 1; 1; 11; H;1;</t>
  </si>
  <si>
    <t>IMP/001</t>
  </si>
  <si>
    <t>25NBOIM700732418</t>
  </si>
  <si>
    <t>DE</t>
  </si>
  <si>
    <t>MSF (MAGANI) - KENYA</t>
  </si>
  <si>
    <t>EXP/032</t>
  </si>
  <si>
    <t>26NBOIM405729781</t>
  </si>
  <si>
    <t>OXALIPLATIN 5MG/ML CONCENTRATE 100; 1; 1; 5; H; 1;</t>
  </si>
  <si>
    <t>GB</t>
  </si>
  <si>
    <t xml:space="preserve">OXALIPLATIN 5MG/ML CONCENTRATE PK; 236; 1; 1; 23; H; 1 </t>
  </si>
  <si>
    <t>MSF (ETHIOPIA)</t>
  </si>
  <si>
    <t>EXP/009</t>
  </si>
  <si>
    <t>25NBOEX308814010</t>
  </si>
  <si>
    <t>BISOPROLOL FUMARATE 10 MG; 15-25°C; PK; 240; 1; 1; 2; H; 1;</t>
  </si>
  <si>
    <t>MSF (RWANDA)</t>
  </si>
  <si>
    <t>EXP/001</t>
  </si>
  <si>
    <t>25NBOEX301997775</t>
  </si>
  <si>
    <t>MSF (LEBANON)</t>
  </si>
  <si>
    <t>EXP/014</t>
  </si>
  <si>
    <t>25NBOEX311704745</t>
  </si>
  <si>
    <t>GLICLAZIDE 80 MG SCORED TABLET; 15-25°C; PK; 540; 1; 1; 4; H; 1;</t>
  </si>
  <si>
    <t>MSF (LIBERIA)</t>
  </si>
  <si>
    <t>EXP/005</t>
  </si>
  <si>
    <t>25NBOEX304340358</t>
  </si>
  <si>
    <t xml:space="preserve">CAPECITABINE AMAROX 500 MG F/C TABLET; 15-25°C; PK; 105; 1; 1; 42; H; 1; </t>
  </si>
  <si>
    <t>EXP/003</t>
  </si>
  <si>
    <t>25NBOEX304024160</t>
  </si>
  <si>
    <t>EXP/008</t>
  </si>
  <si>
    <t>25NBOEX307830271</t>
  </si>
  <si>
    <t>MSF (NIGERIA)</t>
  </si>
  <si>
    <t>EXP/012</t>
  </si>
  <si>
    <t>25NBOEX311190930</t>
  </si>
  <si>
    <t xml:space="preserve">HYDROXYCARBAMIDE CAPSULES 500MG; 15-25°C; PK; 100; 1; 1; 22; H; 1; </t>
  </si>
  <si>
    <t>EXP/010</t>
  </si>
  <si>
    <t>25NBOEX309974506</t>
  </si>
  <si>
    <t>EXP/011</t>
  </si>
  <si>
    <t>25NBOEX310790684</t>
  </si>
  <si>
    <t>EXP/013</t>
  </si>
  <si>
    <t>25NBOEX311453069</t>
  </si>
  <si>
    <t>EXP/015</t>
  </si>
  <si>
    <t>25NBOEX311979797</t>
  </si>
  <si>
    <t>MSF (UGANDA)</t>
  </si>
  <si>
    <t>EXP/024</t>
  </si>
  <si>
    <t>26NBOEX301525863</t>
  </si>
  <si>
    <t xml:space="preserve"> 2026CPPB321J0005408573</t>
  </si>
  <si>
    <t>H; LOGGER; TEMPARATURE DATALOGGER; AMEX; AMEX; 1; 4; 4; 1; 1; 1; 1;</t>
  </si>
  <si>
    <t>ORAL REHYDRATION SALT (O.R.S); 110; 1; THERAPEUTIC; 50; H; 1;</t>
  </si>
  <si>
    <t>IMP/002A</t>
  </si>
  <si>
    <t>25NBOIM701035964</t>
  </si>
  <si>
    <t>25NBOEX302297268</t>
  </si>
  <si>
    <t>ZINC SULPHATE 20MG DISPERSIBLE TABLET; ZINC SULPHATE 20MG DISPERSIBLE TABLET; PK; 33; 1; THERAPEUTIC; 1; H; 1;</t>
  </si>
  <si>
    <t>ORAL REHYDRATION SALT (O.R.S); 110; 1; THERAPEUTIC; 1; H; 1;</t>
  </si>
  <si>
    <t>ZINC SULPHATE 20MG DISPERSIBLE TABLET; ZINC SULPHATE 20MG DISPERSIBLE TABLET; PK; 49; 1; THERAPEUTIC; 1; H; 1;</t>
  </si>
  <si>
    <t>BIPERIDEN HYDROCHLORIDE/AKINETON 2MG; BIPERIDEN HYDROCHLORIDE/AKINETON 2MG; PK; 49; 1; THERAPEUTIC; 1; H; 1;</t>
  </si>
  <si>
    <t>IT</t>
  </si>
  <si>
    <t>GLYCERYL TRINITATE 500 MCG TABS; GLYCERYL TRINITATE 500 MCG TABS; PK; 45; 1; THERAPEUTIC; 1; H; 1;</t>
  </si>
  <si>
    <t>CORDARONE 200MG TAB AMIODARONE; CORDARONE 200MG TAB AMIODARONE; PK; 150; 1; THERAPEUTIC; 1; H; 1;</t>
  </si>
  <si>
    <t>FR</t>
  </si>
  <si>
    <t>CLOPIDOGREL IMPACT 75MG ; CLOPIDOGREL IMPACT 75MG; PK; 161; 1; THERAPEUTIC; 1; H; 1;</t>
  </si>
  <si>
    <t>25NBOEX311704836</t>
  </si>
  <si>
    <t>ENOXAPARIN NA IMPACT 40MG/0.4ML; ENOXAPARIN NA IMPACT 40MG/0.4ML; PK; 75; 1; THERAPEUTIC; 1; H; 1;</t>
  </si>
  <si>
    <t>ENOXAPARIN NA IMPACT 60MG/0.6ML; ENOXAPARIN NA IMPACT 60MG/0.6ML; PK; 70; 1; THERAPEUTIC; 1; H; 1;</t>
  </si>
  <si>
    <t>PREDNOSOLONE 5 MG TABLETS; PK; PREDNOSOLONE 5 MG TABLETS; 332; 1; THERAPEUTIC; 1; H; 1;</t>
  </si>
  <si>
    <t>ENOXAPARINA ROVI 20 MG; PK; 99; 1; ENOXAPARINA ROVI 20 MG; THERAPEUTIC; 1; H; 1;</t>
  </si>
  <si>
    <t>ES</t>
  </si>
  <si>
    <t>N; AMEX; DATALOGGER MODEL ELPRO  1; 1; 1; ELPRO LIBERO CB; 10; 1;</t>
  </si>
  <si>
    <t>MY</t>
  </si>
  <si>
    <t>NITRYLEX CLASSIC NITRILE GLOVES; NITRYLEX CLASSIC NITRILE GLOVES;
NITRILE GLOVES; AMEX; PK; 44; 1; N; 1;</t>
  </si>
  <si>
    <t>IMP/002B</t>
  </si>
  <si>
    <t>25NBOIM701032639</t>
  </si>
  <si>
    <t>25NBOEX302296488</t>
  </si>
  <si>
    <t>VINYL GLOVES-POWDER FREE; VINYL GLOVES-POWDER FREE; AMEX; PK; 110; 1; N; 1;</t>
  </si>
  <si>
    <t>CN</t>
  </si>
  <si>
    <t>N; SURGEON MASK 3 PLY TYPE IIR; TEXTILE; 105; 1; 1;</t>
  </si>
  <si>
    <t xml:space="preserve">NOVALCOL DISINFECTANT; NOVALCOL DISINFECTANT; AMEX; PK; 74; 1; N; 1; 1; N; 1; 1; </t>
  </si>
  <si>
    <t>AMEX; AYRE SPATULA-WOOD TYPE A STERILE; 1;</t>
  </si>
  <si>
    <t>AMEX; PERFECTION BRUSHES -NYLON; 4; 1; 1;</t>
  </si>
  <si>
    <t>PVC-APRONS ACC-EN 340 ,GREEN; PVC- APRONS ACC-EN 340 ,GREEN; AMEX; PK; 76; 1; N; 1;</t>
  </si>
  <si>
    <t xml:space="preserve"> PS M,SPOONS,WHITE NON-STERILE PS ML,SPOONS,WHITE NON-STERILE 15 15 M; AMEX; PK; 6; 1; N; 1; 1;</t>
  </si>
  <si>
    <t>CRESCENT PHARMA LIMITED - UNITED KINGDOM</t>
  </si>
  <si>
    <t>ATORVASTATIN 10MG TABS 28B; PHARMACEUTICALS; PK; 161; 10MG; 1; ATORVASTATIN 10MG TABS 28B; 21; H; 1;</t>
  </si>
  <si>
    <t>IMP/003</t>
  </si>
  <si>
    <t>25NBOIM701287718</t>
  </si>
  <si>
    <t>25NBOEX311704943</t>
  </si>
  <si>
    <t>26NBOIM405484872</t>
  </si>
  <si>
    <t>FUROSEMIDE 20MG TABS 28B; PHARMACEUTICAL; PK; 161; 20MG; 1; 21; H; 1;</t>
  </si>
  <si>
    <t>CHAI (LIBERIA)</t>
  </si>
  <si>
    <t>EXP/048</t>
  </si>
  <si>
    <t>26NBOEX309177082</t>
  </si>
  <si>
    <t>LEVETIRACETAM 1000MG TABS 60B; PHARMACEUTICALS; PK; 150; 1000MG; 1; 21; H; 1;</t>
  </si>
  <si>
    <t>LEVETIRACETAM 250MG TABS 60B; PHARMACEUTICALS; PK; 150; 250MG; 1; 21; H; 1;</t>
  </si>
  <si>
    <t>MSF (ZIMBABWE)</t>
  </si>
  <si>
    <t>EXP/006</t>
  </si>
  <si>
    <t>25NBOEX305131730</t>
  </si>
  <si>
    <t>LEVETIRACETAM 500MG TABS 60B;  PHARMACEUTICALS; PK; 150; 500MG; 1; 21; H; 1;</t>
  </si>
  <si>
    <t xml:space="preserve">LEVETIRAC'M 100MG/ML OS 300ML;PHARMACEUTICALS; PK; 150; 100MG/ML; 1; 32; H; 1; </t>
  </si>
  <si>
    <t>EXP/007</t>
  </si>
  <si>
    <t>25NBOEX307694086</t>
  </si>
  <si>
    <t>DIGITAL DATA SYSTEMS - SOUTH AFRICA</t>
  </si>
  <si>
    <t>N; 3K-F Complete calorimeter; 3K-F Complete calorimeter; OT; DIGITAL DATA  SYSTEMS; 3K-F; 1; 1; 3K-F; OT; 6; 1;</t>
  </si>
  <si>
    <t>IMP/004</t>
  </si>
  <si>
    <t>25NBOIM703133630</t>
  </si>
  <si>
    <t>ZA</t>
  </si>
  <si>
    <t>UNDP (CHAD)</t>
  </si>
  <si>
    <t>EXP/004</t>
  </si>
  <si>
    <t>25NBOEX304023447</t>
  </si>
  <si>
    <t>Installation Kit for the 3K-Calorimeters; Installation Kit for the 3K-Calorimeters; DIGITAL DATA SYSTEMS; 3K-MAN-KT; 1; 1; 2025; 1; 6; 1;</t>
  </si>
  <si>
    <t>CAL3K Cooler; CAL3K Cooler; DIGITAL DATA SYSTEMS; 3K-2; 1; 1; 3K-2; 2025; 1; 6; 1;</t>
  </si>
  <si>
    <t>CAL3K Cooler Installation Kit; DIGITAL DATA SYSTEMS; 3K-2-KT; 1; 1; 3K-2-KT; 2025; 1; 6; 1;</t>
  </si>
  <si>
    <t>N; CAL3K Filling Station; CAL3K Filling Station; OT; DIGITAL DATA SYSTEMS; 3K- 3; 1; 1; 3K-3; OT; 6; 1;</t>
  </si>
  <si>
    <t>3K-3 Filling Station Installation Kit; 3K-3 Filling Station Installation Kit; OT; DIGITAL DATA SYSTEMS; 3K-3-KT; 1; 1; 3K-3-KT; OT; 6; 1;</t>
  </si>
  <si>
    <t>4K Standard Thread Vessel; 2; 1;</t>
  </si>
  <si>
    <t>4K Standard Vessel Installation Kit Manual  Filling; 4K Standard Vessel Installation Kit Manual Filling; OT; DIGITAL DATA SYSTEMS;</t>
  </si>
  <si>
    <t xml:space="preserve">N; High Pressure Oxygen Regulator (Single Stage) - Requirement; - Requirement; OT; </t>
  </si>
  <si>
    <t>36611-81684 BECLO-ASMA 0.10MG/PUFF, 200 PUFFS; BECLO-ASMA 0.10MG/PUFF, 200 PUFFS; CT; 1; 15-25°C; OK; 1000; H; 1;</t>
  </si>
  <si>
    <t>IMP/005</t>
  </si>
  <si>
    <t>25NBOIM705181864</t>
  </si>
  <si>
    <t>26NBOEX309176409</t>
  </si>
  <si>
    <t>36611-65850 SALBUTAMOL, 100 MCG, INHALER; SALBUTAMOL, 100 MCG, INHALER; CT; 1; 15-25°C; OK; 1000; H; 1;</t>
  </si>
  <si>
    <t>RELIEF INTERNATIONAL (SOUTH SUDAN)</t>
  </si>
  <si>
    <t>EXP/037</t>
  </si>
  <si>
    <t>26NBOEX308325818</t>
  </si>
  <si>
    <t>WHO (DRC)</t>
  </si>
  <si>
    <t>EXP/039</t>
  </si>
  <si>
    <t>26NBOEX307963786</t>
  </si>
  <si>
    <t xml:space="preserve">43846-PA0711/028 ENAP 20MG TABS ENALAPRIL, MFG. ROWA 30TBAS; ENAP 20MG TABS ENALAPRIL, MFG. ROWA; </t>
  </si>
  <si>
    <t xml:space="preserve">43846-PA1253/001/001 BIPERIDEN HYDROCHLORIDE/AKINETON 2 MG TABLETS 100 TABS; </t>
  </si>
  <si>
    <t>UNIVERSAL CORPORATION - KENYA</t>
  </si>
  <si>
    <t>CO-PACK FOR DTK (2XLT ORS + 1X10 ZEENK); CO-PACK FOR DTK (2XLT ORS +1X10 ZEENK); PK; 8; 1; THERAPEUTIC;1109; H;</t>
  </si>
  <si>
    <t>IMP/006</t>
  </si>
  <si>
    <t>25NBOIM708130510</t>
  </si>
  <si>
    <t>UNHCR (UGANDA)</t>
  </si>
  <si>
    <t>EXP/018</t>
  </si>
  <si>
    <t>25NBOEX312595782</t>
  </si>
  <si>
    <t>FUROSEMIDE 40MG TABS 28B; FUROSEMIDE 40MG TABS 28B; PK; 5067; 1; 1; 40MG; H; 1;</t>
  </si>
  <si>
    <t>IMP/007</t>
  </si>
  <si>
    <t>25MBAIM704295146</t>
  </si>
  <si>
    <t>25NBOEX312588050</t>
  </si>
  <si>
    <t xml:space="preserve">PARACETAMOL 500MG TABS 100B : PARACETAMOL 500MG TABS 100B; PK; 123960; 1; 1; 500MG; H; 1; </t>
  </si>
  <si>
    <t>PROPRANOLOL 40MG TABS 28B; PROPRANOLOL 40MG TABS 28B; PK; 3571; 1; 1; 40MG; H; 1;</t>
  </si>
  <si>
    <t>CETIRIZINE 10MG TABS 30B; CETIRIZINE 10MG TABS 30B; PK; 2083; 1; 1; 10MG; H; 1;</t>
  </si>
  <si>
    <t>ATORVASTATIN 40MG TABS 28B; ATORVASTATIN 40MG TABS 28B; PK; 1875; 1; 1; 40MG; H; 1;</t>
  </si>
  <si>
    <t>FOSUN - CHINA</t>
  </si>
  <si>
    <t>G-COSPE 500Mg/25mg TB B/3's*50 with datalogger; G-COSPE 500mg/25mg TB B/3’s*50; PK; 3833; 1; 1; H; 1;</t>
  </si>
  <si>
    <t>IMP/008</t>
  </si>
  <si>
    <t>25NBOIM708290831</t>
  </si>
  <si>
    <t>CY</t>
  </si>
  <si>
    <t>25NBOEX312590078</t>
  </si>
  <si>
    <t>REMEDICA - CYPRUS</t>
  </si>
  <si>
    <t>AMIROL 25MG FC TABS (10X10) MFG:03/2025 EXP:03/2030;  MFG:03/2025 EXP:03/2030; CT; 835; 1; OK; 25MG; H; 1;</t>
  </si>
  <si>
    <t>IMP/009</t>
  </si>
  <si>
    <t>25NBOIM708465061</t>
  </si>
  <si>
    <t>UNHCR (TANZANIA)</t>
  </si>
  <si>
    <t>EXP/022</t>
  </si>
  <si>
    <t>25NBOEX313546244</t>
  </si>
  <si>
    <t>2025CPPB321J0005115407</t>
  </si>
  <si>
    <t>AMIROL 25MG FC TABS (10X10) MFG:03/2025 EXP:03/2030; MFG:03/2025 EXP:03/2030; PK; 950; 1; H; 25MG; H; 1;</t>
  </si>
  <si>
    <t>FALCISTAT 500MG/25MG TABLETS (10X3) MFG:04/2025 EXP:04/2030;  MFG:04/2025 EXP:04/2030; PK; 3305; 1; H; 500MG/25MG; H; 1;</t>
  </si>
  <si>
    <t>PK; FALCISTAT 500mg /25mg TABLETS (10X3) MFG:01/2025 EXP:01/2030; MFG:01/2025 EXP:01/2030; 95; 1; H; 500MG/25MG; H; 1;</t>
  </si>
  <si>
    <t>REMYCIN 100MG TABLETS (10X10) MFG:04/2025 EXP: 04/2030; MFG:04/2025 EXP: 04/2030; PK; 1312; 1; H; 100 MG; H; 1;</t>
  </si>
  <si>
    <t>MEDOPHARM - INDIA</t>
  </si>
  <si>
    <t>AZITHROMYCIN TABLETS USP 500MG; AZITHROMYCIN TABLETS USP 500MG; PK; 2; 500MG; OTHER; 7; H; 1;</t>
  </si>
  <si>
    <t>IMP/010</t>
  </si>
  <si>
    <t>25NBOIM708703169</t>
  </si>
  <si>
    <t>25NBOEX312590359</t>
  </si>
  <si>
    <t>COSMOS - KENYA</t>
  </si>
  <si>
    <t>IBUCOS - 200 TABLETS (240232/250151)</t>
  </si>
  <si>
    <t>IMP/011</t>
  </si>
  <si>
    <t>25NBOIM708688222</t>
  </si>
  <si>
    <t>25NBOEX313549122</t>
  </si>
  <si>
    <t>2025CPPB321J0005116586</t>
  </si>
  <si>
    <t>SIRMAXO - INDIA</t>
  </si>
  <si>
    <t>CHLORHEXIDINE CENCENTRATED SOLUTION 5%; CHLORHEXIDINE CENCENTRATED SOLUTION 5%; BX; 92; 1; THERAPEUTIC; 44; H; 1;</t>
  </si>
  <si>
    <t>IMP/012</t>
  </si>
  <si>
    <t>25NBOIM708778170</t>
  </si>
  <si>
    <t>25NBOEX312590656</t>
  </si>
  <si>
    <t>WOCKHARDT - INDIA</t>
  </si>
  <si>
    <t>PREDNISOLONE 5MG TAB 28 BLI PACK; PREDNISOLONE 5MG TAB; PP; 8540; 1; THERAPEUTIC; 8540; H; 1;</t>
  </si>
  <si>
    <t>IMP/013</t>
  </si>
  <si>
    <t>25NBOIM708966717</t>
  </si>
  <si>
    <t>25NBOEX312594373</t>
  </si>
  <si>
    <t>MEDREICH - UNITED KINGDOM</t>
  </si>
  <si>
    <t>CARBAMAZEPINE 200MG 84S TABS; PP; CARBAMAZEPINE 200MG 84S TABS; 387; 1; THERAPEUTIC; 387; H; 1;</t>
  </si>
  <si>
    <t>IMP/014</t>
  </si>
  <si>
    <t>25NBOIM709696728</t>
  </si>
  <si>
    <t>AT</t>
  </si>
  <si>
    <t>25NBOEX312595054</t>
  </si>
  <si>
    <t>GENETECH - UNITED KINGDOM</t>
  </si>
  <si>
    <t>AMLODIPINE 5MG TABS; AMLODIPINE 5MG TABS; PK; 6500; 1; 1; 5MG; H; 1;</t>
  </si>
  <si>
    <t>IMP/015</t>
  </si>
  <si>
    <t>25NBOIM709705368</t>
  </si>
  <si>
    <t>25NBOEX312595426</t>
  </si>
  <si>
    <t>TRIHEXYPHENIDYL 2MG TABS;  TRIHEXYPHENIDYL 2MG TABS; PK; 146; 1; 1; 2MG; H; 1;</t>
  </si>
  <si>
    <t>HARLEYS - KENYA</t>
  </si>
  <si>
    <t>Nan 1 400gms-NSKHK0003; Nan 1 400gms; CT; 56; 400MG; 1; 28; H;</t>
  </si>
  <si>
    <t>IMP/016</t>
  </si>
  <si>
    <t>25NBOIM709906568</t>
  </si>
  <si>
    <t>HARLEYS (KENYA)</t>
  </si>
  <si>
    <t>EXP/017</t>
  </si>
  <si>
    <t>25NBOEX313212070</t>
  </si>
  <si>
    <t>Nan 1 400gms-NSKHK0003; Nan 1 400gms NSKHK0003; CT; 1144; 400gms; 1; 572; H;</t>
  </si>
  <si>
    <t xml:space="preserve">CALCIUM GLUCONATE 10% 100mg/ml PROAMP 10mL B50 FR; CALCIUM GLUCONATE 10% 100mg/ml PROAMP 10mL B50 FR; CT; 10; 1; THERAPEUTIC;155; H; 1; </t>
  </si>
  <si>
    <t>IMP/017</t>
  </si>
  <si>
    <t>25NBOIM709978541</t>
  </si>
  <si>
    <t>UNFPA (YEMEN)</t>
  </si>
  <si>
    <t>EXP/016</t>
  </si>
  <si>
    <t>25NBOEX312026745</t>
  </si>
  <si>
    <t>EXP/019</t>
  </si>
  <si>
    <t>25NBOEX314538181</t>
  </si>
  <si>
    <t>2025CPPB321J0005216431</t>
  </si>
  <si>
    <t>REMEDIUM 5 MG TABLETS; REMEDIUM 5 MG TABLETS; CT; 2; 1; 1; 0.538M CUBIC METRE; H; 605; 1; (Diazepam 5mg tablets)</t>
  </si>
  <si>
    <t>IMP/018</t>
  </si>
  <si>
    <t>25NBOIM710526950</t>
  </si>
  <si>
    <t>EXP/021/B</t>
  </si>
  <si>
    <t>25NBOEX313416860</t>
  </si>
  <si>
    <t>2025CPPB321J0006096260</t>
  </si>
  <si>
    <t>RELONCHEM - UNITED KINGDOM</t>
  </si>
  <si>
    <t xml:space="preserve">ACICLOVIR 5% 2G; ACICLOVIR 5% 2G; PK; 6250; 1; 1; 2G; H; 1; </t>
  </si>
  <si>
    <t>IMP/019</t>
  </si>
  <si>
    <t>25NBOIM710838220</t>
  </si>
  <si>
    <t>EXP/021/A</t>
  </si>
  <si>
    <t>25NBOEX313415731</t>
  </si>
  <si>
    <r>
      <t>2025CPPB</t>
    </r>
    <r>
      <rPr>
        <b/>
        <i/>
        <sz val="11"/>
        <color theme="1"/>
        <rFont val="Calibri"/>
        <family val="2"/>
      </rPr>
      <t>321J0005110681</t>
    </r>
  </si>
  <si>
    <t>STERIMED - INDIA</t>
  </si>
  <si>
    <t>UMBILICAL CORD CLAMP; SMD801; STERIMED; PP; 5000; 1; N; 1; 1;</t>
  </si>
  <si>
    <t>IMP/020</t>
  </si>
  <si>
    <t>25NBOIM711551381</t>
  </si>
  <si>
    <t>UNFPA (LIBERIA)</t>
  </si>
  <si>
    <t>EXP/020</t>
  </si>
  <si>
    <t>25NBOEX314002599</t>
  </si>
  <si>
    <t>2025CPPB321J0005207101</t>
  </si>
  <si>
    <t>26NBOEX303025221</t>
  </si>
  <si>
    <t>HENAN BOSEAN</t>
  </si>
  <si>
    <t xml:space="preserve">FS-600 RADIATION DETECTOR; FS-600 RADIATION DETECTOR; OT; HENAN BOSEAN; OT; 1; 50; 1; OT; 10.5; 1; </t>
  </si>
  <si>
    <t>IMP/021</t>
  </si>
  <si>
    <t>25NBOIM711299252</t>
  </si>
  <si>
    <t>TAEC (TANZANIA)</t>
  </si>
  <si>
    <t>EXP/030</t>
  </si>
  <si>
    <t>26NBOEX304850834</t>
  </si>
  <si>
    <t>METRONIDAZOLE TABLETS BP 250MG; JR; 2000; 1; OTHER; 446; H; 1;</t>
  </si>
  <si>
    <t>IMP/022</t>
  </si>
  <si>
    <t>25NBOIM712648935</t>
  </si>
  <si>
    <t>25NBOEX314002141</t>
  </si>
  <si>
    <t>2025CPPB321J0005207237</t>
  </si>
  <si>
    <t>PYRAMID - KENYA</t>
  </si>
  <si>
    <t>BENCH COVER/UNDERPAD,50X60CM,10PC/PK 605-00719</t>
  </si>
  <si>
    <t>IMP/023</t>
  </si>
  <si>
    <t>25NBOIM712302028</t>
  </si>
  <si>
    <t>SAMARITANS PURSE (DRC)</t>
  </si>
  <si>
    <t>EXP/042</t>
  </si>
  <si>
    <t>26NBOEX30861B3368</t>
  </si>
  <si>
    <t>SURGILABS - KENYA</t>
  </si>
  <si>
    <t>SRSL; BRUSH HAND SURGEONS PLASTIC BLOCK WITH NYLON BRISTLES AUTOCLABLE; 60; 1;KASUKU BRAND; 30; 1</t>
  </si>
  <si>
    <t>IMP/024/A</t>
  </si>
  <si>
    <t>25NBOIM713255663</t>
  </si>
  <si>
    <t>IFRC SRCS - HARGESIA (SOMALILAND) + GAROWE (SOMALIA)</t>
  </si>
  <si>
    <t>EXP/023</t>
  </si>
  <si>
    <t>26NBOEX302258040 +  26NBOEX302259200</t>
  </si>
  <si>
    <t>2026CPPB321J0005457767
+
2026CPPB321J0005457407</t>
  </si>
  <si>
    <t>GLOVES EXAMINATION NITRILE MEDIUM SINGLE USE 100S; NITRILE GLOVES; SRSL; PP; 30; 1; N;</t>
  </si>
  <si>
    <t>SYRINGE SINGLE USE 10ML STERILE; OTHER; SRSL; SRSL; 1; 3000; 1; OTHER; 27</t>
  </si>
  <si>
    <t>SPARTAN - KENYA</t>
  </si>
  <si>
    <t>PATIENT REGISTER 2 QUIRE A4 KASUKU BRAND; 30; 1</t>
  </si>
  <si>
    <t>IMP/024/B</t>
  </si>
  <si>
    <t>25NBOIM713114300</t>
  </si>
  <si>
    <t>CUP PLASTIC 300ML GRADUATED WITH HANDLE; SRSL; PP; 300; 1; N;</t>
  </si>
  <si>
    <t>CUP PLASTIC 500ML WITHOUT HANDLE; SRSL; PP; 300; 1; N;</t>
  </si>
  <si>
    <t>SPOONS MILTI-USE/SOUP 15ML FOODGRADE PLASTIC DISPOSABLE; SRSL; PP; 600; 1; N;</t>
  </si>
  <si>
    <t>JUG MEASURING L LITRE GRADYATED WITH BREAK AND HANDLE; SRSL; PP; 210; 1; N;</t>
  </si>
  <si>
    <t>BUCKET PLASTIC (HDPE) 14 LITRE WITH CLIP COVER AND 52 MM OUTLET/TAP; SRSL; PP; 210; 1; N</t>
  </si>
  <si>
    <t>JERRYCAN, FOOD GRADE LDPE FOLDABLE 10 LITERS WITH BULT-IN HANDLE &amp; TAP; SRSL; PP; 60; 1; N;</t>
  </si>
  <si>
    <t xml:space="preserve">PLASTIC CASING CERAMIC FILTER (FAIREY); SRSL; PP; 30; 1; N; 1 </t>
  </si>
  <si>
    <t>RUBBISH BIN 18 LTRS PEDAL BIN; SRSL; PP; 30; 1;</t>
  </si>
  <si>
    <t>WASTE DISPOSAL BAGS (YELLOW/BLUE/RED/BLACK); SRSL; PP; 60; 1; N; 1;</t>
  </si>
  <si>
    <t>SPOON STIRRING WOOD 30CM</t>
  </si>
  <si>
    <t>GLOVES FOR WASHING DISHES RUBBER PAIR SIZE M; NON STERILE LATEX GLOVES; SRSL; PP; 150; 1; N;</t>
  </si>
  <si>
    <t>SOAP TOILET BAR APPROXIMATELY 90G DETTOL; SRSL; PP; 300; 1; 1; 27;</t>
  </si>
  <si>
    <t>BUCKET FOR PATIENTS (STOOL AND VOMIT) 20LTRS; SRSL; PP; 300; 1</t>
  </si>
  <si>
    <t>ROPE POLYPROPYLENE 3MM X 5M WHITE COLOUR;</t>
  </si>
  <si>
    <t>FACE MASKS DISPOSABLE BLUE COLOUR; OTHER; 600; 1;</t>
  </si>
  <si>
    <t>HAND SANITIZER 500ML; 450; 1; N</t>
  </si>
  <si>
    <t>PLASTIC APPRON WHITE PVC MATERIAL; SRSL; PP; 150; 1; N;</t>
  </si>
  <si>
    <t>AMEX HEALTHCARE - AUSTRIA</t>
  </si>
  <si>
    <t>Alissa; FLUTICASONE PROPIONATE spray, Pack of 1 50 mcg metered; PK; 20; 1; 1; 50 mcg; H; 1;</t>
  </si>
  <si>
    <t>IMP/025</t>
  </si>
  <si>
    <t>25NBOIM713554212</t>
  </si>
  <si>
    <t>UA</t>
  </si>
  <si>
    <t xml:space="preserve">Ovelle; Benzyl Benzoate 25% w/v Application Cutaneous Emulsion w/v bottle; PK; 19; 1; 1; 100ml; H; 1 </t>
  </si>
  <si>
    <t>Medochemie Ltd.; Co-trimoxazole Forte 160mg/800mg; PK; 70; 1; 1; 160mg/800mg; Medochemie Ltd.; Co-trimoxazole ForteH; 1;</t>
  </si>
  <si>
    <t>Baxter Healthcare Ltd; Compound Sodium Lactate Solution for Infusion BP; PK; 74; 1;  Compound Sodium 1; 1; H; 1;</t>
  </si>
  <si>
    <t>Panpharma; Diclofenac sodium 25mg/ml, Solutionfor injection, 3 ml ampoule10amps/pack,; PK; 1217; 1; 1; 25mg; H; 1;</t>
  </si>
  <si>
    <t>Teva; FLUCONAZOLE TV 200MG FR; PK;18; 1; 1; 200MG; H; 1;</t>
  </si>
  <si>
    <t>L. Aguettant; Lidocaine 20mg/ml 2% (400mg in 20ml) 20ml; PK; 8; 1; 1; 200M</t>
  </si>
  <si>
    <t>Medochemie Ltd.; Dexamethasone phosphate 4mg/ml 1ml ampoules; PK; 317; 1; 1; 4mg; H; 1;</t>
  </si>
  <si>
    <t>Medochemie Lt; Cefimed (cefixime) 200mg film-coated tablets; PK; 17; 1; 1; 200mg; H;1;</t>
  </si>
  <si>
    <t>Medochemie Ltd; Co-trimoxazole Forte 160mg/800mg; PK; 230; 1; 1; 160mg/800mg; H; 1;</t>
  </si>
  <si>
    <t xml:space="preserve"> </t>
  </si>
  <si>
    <t>Milpharm Ltd; Ciprofloxacin, 500mg, tablet;PK; 18; 1; 1; 500mg; H; 1</t>
  </si>
  <si>
    <t>Tillomed; Loperamide Hydrochloride 2mgCapsules; PK; 3; 1; 1; 2mg; H; 1;</t>
  </si>
  <si>
    <t>Acetylsalicylic acid, 75 mg, tab.; GL Pharma;PK; 1073; 1; 1; 100; H; 1;</t>
  </si>
  <si>
    <t>Ovelle; Benzyl Benzoate 25% w/v Application Cutaneous Emulsion, 100ml bottle; PK; 83; 1; 1; 100ml; H; 1;</t>
  </si>
  <si>
    <t>Medochemie; MEDOVIR 200mg (Aciclovir) Blister, Pack of 100; PK; 385; 1; 1; 200mg;H; 1;</t>
  </si>
  <si>
    <t>ANFARM; DIGOXIN 0.5mg/2ml solution for injection; PK; 10; 1; 1; 0.5mg/2ml; H; 1;</t>
  </si>
  <si>
    <t>Aurobindo; TERBINAFINE 250 MG TAB; PK;6; 1; 1; 250 MG; H; 1;</t>
  </si>
  <si>
    <t>Relonchem; Prednisolone 5 mg tablets; PK;48; 1; 1; 5mg; H; 1;</t>
  </si>
  <si>
    <t>Relonchem; Loratadine 10mg tab; PK; 68; 1;1; 5mg; H; 1;</t>
  </si>
  <si>
    <t>Crescent; Paracetamol 500 mg Tablets; PK;40; 1; 1; 500mg; H; 1;</t>
  </si>
  <si>
    <t>26NBOEX307963497</t>
  </si>
  <si>
    <t xml:space="preserve">Ferrous Fumarate 140mg/5ml  300ml PK;3; 1; 1; 140mg/5ml; 1; Thornton &amp; Ross Ltd; H; </t>
  </si>
  <si>
    <t xml:space="preserve"> Relonchem; IBUPROFEN, 200 mg, tab.; PK;1240; 1; 1; 200 mg; H; 1;</t>
  </si>
  <si>
    <t>Milpharm Limited; Metronidazole 500 mgTablet; PK; 14; 1; 1; 500mg; H; 1;</t>
  </si>
  <si>
    <t>Crescent; Metronidazole 400mg,tabs; PK;12; 1; 1; 400mg; H; 1;</t>
  </si>
  <si>
    <t>Umedica; Clotrimazole 100mg Vaginal tablet; PK; 7633; 1; 1; 100mg; H; 1;</t>
  </si>
  <si>
    <t>Thornton and Ross; Calamine Lotion, 15%,200ml; PK; 11; 1; 1; 200ml; H; 1;</t>
  </si>
  <si>
    <t>Macleods; Zinc sulphate 20mg Dispersible Tablet; PK; 54; 1; 1; 20mg; H; 1;</t>
  </si>
  <si>
    <t>UNDP (VENEZUELA)</t>
  </si>
  <si>
    <t>EXP/029</t>
  </si>
  <si>
    <t>26NBOEX304342431</t>
  </si>
  <si>
    <t>Macleods; Zinc 20mg Dispersible Tablets;PK; 3355; 1; 1; 20mg; H; 1;</t>
  </si>
  <si>
    <t>WHO (MADAGASCAR)</t>
  </si>
  <si>
    <t>EXP/038</t>
  </si>
  <si>
    <t>26NBOEX308134128</t>
  </si>
  <si>
    <t>MDM (DRC)</t>
  </si>
  <si>
    <t>EXP/047</t>
  </si>
  <si>
    <t>26NBOEX309427657</t>
  </si>
  <si>
    <t>Sirmaxo Chemicals Pvt. Ltd.; IODINE POVIDONE, 7.5%, solution, scrub, 500ml;PK; 40; 1; 1; 500ml; H; 1</t>
  </si>
  <si>
    <t>UNIVERSAL - KENYA</t>
  </si>
  <si>
    <t>SULFRAN 480MG TABS 100X10'S; SULFRAN 480MG TABS 100X10'S; CT; 3; 480MG; 1; 93; H;</t>
  </si>
  <si>
    <t>IMP/026</t>
  </si>
  <si>
    <t>25NBOIM714038956</t>
  </si>
  <si>
    <t>26NBOEX307962955</t>
  </si>
  <si>
    <t>UNFLAVOURED ORS 20.50GM (100S) SACHETS UNICEF;  UNICEF; CT; 2; 20.5gms; 1; 62; H;</t>
  </si>
  <si>
    <t>26NBOEX308133230</t>
  </si>
  <si>
    <t>CO-PAC DTK (2X1LTORS+1X10ZEENK20MG )UNICEF; ; CT; 1; 1; THERAPEUTIC; 30; H;</t>
  </si>
  <si>
    <t>CLOTRINE 500MG (PESSARIES 500MG;CLOTRINE 500MG (PESSARIES 500MG;CT; 15; 1; THERAPEUTIC; 464; H;</t>
  </si>
  <si>
    <t>MEDOPHARMA - INDIA</t>
  </si>
  <si>
    <t xml:space="preserve">DISPERSIBEL CO-TRIMOXAZOLE  TABLETS BP 120MG;  BX; 47; 1; Therapeutic; 325.24; H; 1; </t>
  </si>
  <si>
    <t>IMP/027</t>
  </si>
  <si>
    <t>26NBOIM700381980</t>
  </si>
  <si>
    <t>UNDP (BURUNDI)</t>
  </si>
  <si>
    <t>EXP/025</t>
  </si>
  <si>
    <t>26NBOEX303224572</t>
  </si>
  <si>
    <t xml:space="preserve"> 2026CPPB321J0005594033</t>
  </si>
  <si>
    <t>MICROLABS - INDIA</t>
  </si>
  <si>
    <t>TRIMETHOPRIM &amp; SULFAMETHOXA ZOLE TABLETS BP 160MG/800MG</t>
  </si>
  <si>
    <t>IMP/028</t>
  </si>
  <si>
    <t>26NBOIM700379416</t>
  </si>
  <si>
    <t>AMSTELFARMA - NETHERLANDS</t>
  </si>
  <si>
    <t xml:space="preserve"> Azithromycin 200mg/5ml, powder for oral suspension, 15ml USP.; PP; 1000; 1; THERAPEUTIC; 1; H; 1;</t>
  </si>
  <si>
    <t>IMP/029</t>
  </si>
  <si>
    <t>26NBOIM700815166</t>
  </si>
  <si>
    <t>IMC (CHAD)</t>
  </si>
  <si>
    <t>EXP/045</t>
  </si>
  <si>
    <t>26NBOEX309330252</t>
  </si>
  <si>
    <t>;Metronidazole 500mg tablets BP; PK; 500; 1; ; THERAPEUTIC; 1; H; 1;</t>
  </si>
  <si>
    <t xml:space="preserve"> Paracetamol 500mg tablet BP.; PK; 200; 1;; THERAPEUTIC; 1; H; 1; </t>
  </si>
  <si>
    <t>; Calamine 15% lotion, 100ml bottle, BP; PK; 1000; 1; THERAPEUTIC; 1; H; 1;</t>
  </si>
  <si>
    <t>;; Doxycycline Hcl 100mg film coated tablets, BP, blister packing. Zone IVb; PK; 500; 1; THERAPEUTIC; 1; H; 1;</t>
  </si>
  <si>
    <t>26NBOEX309426850</t>
  </si>
  <si>
    <t>B.S MOHINDRA - KENYA</t>
  </si>
  <si>
    <t>MIDEA SMART COOLING OUTDOOR BRAND MSAG11D-24HRDNI; MIDEA 24000 BTU HEATING AND COOLING INVETTER AIR CONDITIONER; NEW; MIDEA; MSAG11D-24HRDNI; 8; 1; MSAG11D-24HRDNI; 2024; 4; 4;</t>
  </si>
  <si>
    <t>IMP/030</t>
  </si>
  <si>
    <t>26NBOEX301490164</t>
  </si>
  <si>
    <t>SG</t>
  </si>
  <si>
    <t>IAEA - NAPHL (ERITREA)</t>
  </si>
  <si>
    <t>EXP/033</t>
  </si>
  <si>
    <t>26NBOEX306396068</t>
  </si>
  <si>
    <t xml:space="preserve"> ARTEMETHER AND LUMEFANTRINE 20MG/120 TABLETS (COMBIART 30X18s WHO-HP); CT; 40; 120MG; 1; 29; H;</t>
  </si>
  <si>
    <t>IMP/031</t>
  </si>
  <si>
    <t>26NBOIM701336086</t>
  </si>
  <si>
    <t>26NBOEX309427440</t>
  </si>
  <si>
    <t>CROWN - KENYA</t>
  </si>
  <si>
    <t>CREPE BANDAGES 4" X 5 YDS; CREPE BANDAGES 4" X 5 YDS; PP; 400; H; 1; THERAPEUTIC; 11.5;</t>
  </si>
  <si>
    <t>IMP/032</t>
  </si>
  <si>
    <t>26NBOIM701934790</t>
  </si>
  <si>
    <t>H; WARD SCREENS 4 FOLD STAINLESS STEEL; STAINLESSSTEEL; 3; 3;</t>
  </si>
  <si>
    <t>CROWN; 1; SECA 310SCALE BABY HANGING 25KG DIAL TYPE; SECA 310SCALE BABY HANGING 25KG DIAL TYPE; 5; ME-90; 2026; 5; 1.73;</t>
  </si>
  <si>
    <t>H; 1; RIESTER BP; RIESTER BP MACHINE ANEROID ADULT GREEN; BP MACHINE;CROWN; 1; 10; ME-071; BP MACHINE; 1;</t>
  </si>
  <si>
    <t>TALLY COUNTER; TALLY COUNTER; CROWN; PK; 2; 2; N/A; 1;</t>
  </si>
  <si>
    <t>FIT ONE - CHINA</t>
  </si>
  <si>
    <t>MEDICAL NITRILE EXAMINATION GLOVE, NOT-STERILE; GLOVES; FITONE; H; H; 900; 1; SMALL</t>
  </si>
  <si>
    <t>IMP/033</t>
  </si>
  <si>
    <t>26EMKIM700271617</t>
  </si>
  <si>
    <t>26NBOEX308789260</t>
  </si>
  <si>
    <t>MEDICAL NITRILE EXAMINATION GLOVE, NOT-STERILE; GLOVES; FITONE; H; H; 4500; 1; MEDIUM</t>
  </si>
  <si>
    <t>FHI360 (DRC)</t>
  </si>
  <si>
    <t>EXP/041</t>
  </si>
  <si>
    <t>26NBOEX308773563</t>
  </si>
  <si>
    <t>IFRC (SOMALILAND)</t>
  </si>
  <si>
    <t>EXP/043</t>
  </si>
  <si>
    <t>26NBOEX309032540</t>
  </si>
  <si>
    <t>26NBOEX309033030</t>
  </si>
  <si>
    <t>MEDICAL NITRILE EXAMINATION GLOVE, NOT-STERILE; GLOVES; FITONE; H; H; 3600; 1; LARGE</t>
  </si>
  <si>
    <t>IFRC (DRC)</t>
  </si>
  <si>
    <t>EXP/040</t>
  </si>
  <si>
    <t>26NBOIM703627053</t>
  </si>
  <si>
    <t>MEDICAL NITRILE EXAMINATION GLOVE, NOT-STERILE; GLOVES; FITONE; H; H; 250; 1; SMALL</t>
  </si>
  <si>
    <t>MEDICAL NITRILE EXAMINATION GLOVE, NOT-STERILE; GLOVES; FITONE; H; H; 750; 1; MEDIUM</t>
  </si>
  <si>
    <t>26NBOEX309426040</t>
  </si>
  <si>
    <t>GLAND - INDIA</t>
  </si>
  <si>
    <t>TRANEXAMIC ACID INJECTION 100MG/ML, 10ML AMPOULE; TRANEXAMIC ACID INJECTION; PP; 1060; 1; THERAPEUTIC; 10600; H; 1;</t>
  </si>
  <si>
    <t>IMP/034/A</t>
  </si>
  <si>
    <t>26NBOIM702850091</t>
  </si>
  <si>
    <t>UNFPA (COMOROS)</t>
  </si>
  <si>
    <t>EXP/034</t>
  </si>
  <si>
    <t>26NBOEX306518950</t>
  </si>
  <si>
    <t>TRANEXAMIC ACID INJECTION 100MG/ML, 10ML AMPOULE;TRANEXAMIC ACID INJECTION; PP; 1061; 1; THERAPEUTIC; 1061; H; 1;</t>
  </si>
  <si>
    <t>IMP/034/B</t>
  </si>
  <si>
    <t>26NBOIM702848877</t>
  </si>
  <si>
    <t>UNFPA (TIMOR-LESTE)</t>
  </si>
  <si>
    <t>EXP/031</t>
  </si>
  <si>
    <t>26NBOEX305310531</t>
  </si>
  <si>
    <t>TRANEXAMIC ACID INJECTION 100MG/ML, 10ML AMPOULE; PX; 10640; 1; THERAPEUTIC; 100MG/ML; H; 1;</t>
  </si>
  <si>
    <t>IMP/034/C</t>
  </si>
  <si>
    <t>26NBOIM702850993</t>
  </si>
  <si>
    <t>UNFPA (TOGO)</t>
  </si>
  <si>
    <t>EXP/027</t>
  </si>
  <si>
    <t>26NBOEX304429483</t>
  </si>
  <si>
    <t>UNFPA (ANGOLA)</t>
  </si>
  <si>
    <t>EXP/028</t>
  </si>
  <si>
    <t>26NBOEX304429938</t>
  </si>
  <si>
    <t>CRESCENT - UK</t>
  </si>
  <si>
    <t>A00382-Prednisolone 5mg Tabs 28b; Prednisolone 5mg Tabs 28b; PK; 1786; 5mg; Therapeutic; 1; H; 1;</t>
  </si>
  <si>
    <t>IMP/035</t>
  </si>
  <si>
    <t>26NBOIM703035638</t>
  </si>
  <si>
    <t>26NBOEX308125530</t>
  </si>
  <si>
    <t xml:space="preserve">A00709 Loratadine 10mg Tabs 30b; Loratadine 10mg Tabs 30b </t>
  </si>
  <si>
    <t>A00367 Phenoxy'pen 250mg Tabs 28b</t>
  </si>
  <si>
    <t>KANAM - INDIA</t>
  </si>
  <si>
    <t>STERILE SURGICAL POWDERED GLOVES; GLOVES; KALTEX; H; H; 1;</t>
  </si>
  <si>
    <t>IMP/036</t>
  </si>
  <si>
    <t>26EMKIM700317871</t>
  </si>
  <si>
    <t>26NBOEX308788456</t>
  </si>
  <si>
    <t xml:space="preserve"> 26NBOEX308788456</t>
  </si>
  <si>
    <t>26NBOEX309426272</t>
  </si>
  <si>
    <t>STERILE LATEX GYNAECOLOGICAL POWDERFREE POLMER COATED GLOVES; SURGICARE</t>
  </si>
  <si>
    <t>LUMN LABS - INDIA</t>
  </si>
  <si>
    <t>F-75 THERAPEUTIC FOOD; F-75 400 GRAMS CANNISTER; 50; H; 480; 1;</t>
  </si>
  <si>
    <t>IMP/037</t>
  </si>
  <si>
    <t>26EMKIM700318734</t>
  </si>
  <si>
    <t>F-100 THERAPEUTIC FOOD; F-100 400 GRAMS CANNISTER; 50; H; 1;</t>
  </si>
  <si>
    <t>HIGH ENERGY/HIGH NUTRITIONAL FOOD( RUTF-READY TO USE THERAPEUTIC FOOD); RUTF 92GRAMS SACHETS; 420; H; 1;</t>
  </si>
  <si>
    <t>IRC (SOMALIA)</t>
  </si>
  <si>
    <t>EXP/026</t>
  </si>
  <si>
    <t>26NBOEX304342225</t>
  </si>
  <si>
    <t>ANGIPLAST- INDIA</t>
  </si>
  <si>
    <t>H; 1; IV CANNULA WITH WING, INJECTION PORT SIZE : 16G; ; MEDICAL; ANGIPLAST; 16G; 5000; 5; 16G; OTHER; 27.9; 1;</t>
  </si>
  <si>
    <t>IMP/038</t>
  </si>
  <si>
    <t>26EMKIM700319209</t>
  </si>
  <si>
    <t>H; 1; IV CANNULA WITH WING, INJECTION PORT SIZE : 18G; MEDICAL; ANGIPLAST; 18G; 14000; 14; 18G; OTHER; 75.6; 1;</t>
  </si>
  <si>
    <t>1; IV CANNULA WITH WING, INJECTION PORT SIZE : 20G; H;  OTHER; ANGIPLAST; 20G; 14; 14; MEDICAL; OTHER; 75.04; 1;</t>
  </si>
  <si>
    <t>H; 1; IV CANNULA WITH WING, INJECTION PORT SIZE : 22G; MEDICAL; ANGIPLAST; 22G; 28; 28000; 22G; OTHER; 140; 1;</t>
  </si>
  <si>
    <t>1; MEDOCAL; H; IV CANNULA WITH WING, INJECTION PORT SIZE : 24G;ANGIPLAST; 24G; 39; 39000; 24G; OTHER; 187.2; 1;</t>
  </si>
  <si>
    <t>ATLAS SURGICAL - INDIA</t>
  </si>
  <si>
    <t xml:space="preserve"> N; NON-HERPARINIZED CAPILLARY TUBES; 200; 1;</t>
  </si>
  <si>
    <t>IMP/039</t>
  </si>
  <si>
    <t>26NBOIM703533653</t>
  </si>
  <si>
    <t>WHO (SOUTH SUDAN)</t>
  </si>
  <si>
    <t>EXP/036</t>
  </si>
  <si>
    <t>26NBOEX3075130066</t>
  </si>
  <si>
    <t xml:space="preserve"> N; ERTHROCYTE SEIMENTATION (ESR) RACK; 40; 1</t>
  </si>
  <si>
    <t xml:space="preserve"> WESTERGREEN TUBES; N; 40; 1;</t>
  </si>
  <si>
    <t>MEDICAL EXPORT GROUP (AMSTELFARMA) - NETHERLANDS</t>
  </si>
  <si>
    <t>Albendazole 400mg chewable tablet USP. Zone IV (30°C / 65% RH); PK; 1; 1; Therapeutic; 1000; 121;H; 1;</t>
  </si>
  <si>
    <t>IMP/040</t>
  </si>
  <si>
    <t>26NBOEX308131710</t>
  </si>
  <si>
    <t>26NBOEX307959015</t>
  </si>
  <si>
    <t>26NBOEX309329411</t>
  </si>
  <si>
    <t>Amitriptyline 25mg tablet USP, blister packing. Zone IVb (30°C / 75% RH); PK; 1;1; H; 1; 96; Therapeutic; 400;</t>
  </si>
  <si>
    <t>Oral contraceptive, consisting of ethinylestradiol 30mcg - levonorgestrel 150mcg; (21 tablets) and ferrous fumarate 75mg (7 tablets), Zone IV (30°C / 65% RH); PK; 1; 1; Therapeutic; 555; 22; H; 1;</t>
  </si>
  <si>
    <t>Furosemide 40mg tablets BP, blister packing. Zone IVb (30°C / 75% RH); PK; 1; 1; Therapeutic; 150; 58; H; 1;</t>
  </si>
  <si>
    <t>Levonorgestrel 1.5mg tablet. Zone IV (30°C / 65% RH); PK; 1; 1; Therapeutic;18; H; 1000; 1;</t>
  </si>
  <si>
    <t>Salbutamol 4mg tablet BP. Zone IV (30°C / 65% RH); PK; 1; 1; Therapeutic;12; H; 100; 1;</t>
  </si>
  <si>
    <t>Tetracycline (as hydrochloride) 1%, eye ointment 5g tube USP. Zone IVb; (30°C /75% RH); PK; 1; 1; Therapeutic; 49; H; 100;1;</t>
  </si>
  <si>
    <t>PUI-AID (AFGHANISTAN)</t>
  </si>
  <si>
    <t>EXP/035</t>
  </si>
  <si>
    <t>26NBOEX307183227</t>
  </si>
  <si>
    <t>Metoclopramide 10mg tablet BP. Zone IV (30°C / 65% RH); PK; 1;1; Therapeutic; 21; H; 100; 1;</t>
  </si>
  <si>
    <t>LIDOCAINE 10 mg/mL (1%) 3400936272 INJECTION 20ML;  PX; 250; 1; THERAPEUTIC; 853.49; H; 1;</t>
  </si>
  <si>
    <t>IMP/041</t>
  </si>
  <si>
    <t>26NBOIM703824362</t>
  </si>
  <si>
    <t>26NBOEX307959760</t>
  </si>
  <si>
    <t>LIDOCAINE 20 mg/mL 2% 3400936272 IN 20ML)20ML; PX; 250; 1; THERAPEUTIC; 853.49; H; 1;</t>
  </si>
  <si>
    <t>LOPS (HAITI)</t>
  </si>
  <si>
    <t>EXP/049</t>
  </si>
  <si>
    <t>26NBOEX310022943</t>
  </si>
  <si>
    <t>ADRENALINE AGUETTANT 3400931953173 1MG/ML ABT 1ML B10;  PK; 198; 1; THERAPEUTIC; 278.45; H; 1;</t>
  </si>
  <si>
    <t>26NBOEX309329610</t>
  </si>
  <si>
    <t>RINGER LACTACTE (HARTMANN'S SOLUTION) POC COS 1000ml; PK; 200; 1; THERAPEUTIC; 1141; H; 1;</t>
  </si>
  <si>
    <t>SODIUM CHLORIDE 0.9% COS PVC 500ml; SODIUM CHLORIDE 0.9% COS PVC 500ml; PK; 100; 1; THERAPEUTIC; 658.97; H; 1;</t>
  </si>
  <si>
    <t>5% GLUCOSE INTRAVENOUS INFUSION SOLUTION 500ml; PK; 100; 1; Therapeutic; 699.79; H; 1;</t>
  </si>
  <si>
    <t>NANTONG TRUSTAR - CHINA</t>
  </si>
  <si>
    <t>H; 1; NASAL CANNULA; NASAL CANNULA; OT; NANTONG; OT; 100; 200; 1; 20000; 1; 775; 1;</t>
  </si>
  <si>
    <t>IMP/042</t>
  </si>
  <si>
    <t>26MBAIM702048219</t>
  </si>
  <si>
    <t>26NBOEX308788646</t>
  </si>
  <si>
    <t>EXP/052</t>
  </si>
  <si>
    <t>26NBOEX308344066</t>
  </si>
  <si>
    <t>ALCOHOL PAD; ALCOHOL PAD; PK; 20; H; 1; OT; 200; 200,000; 200000; 1;</t>
  </si>
  <si>
    <t>PLASTIC BAG; PLASTIC BAG; NANTONG; PK; 24; 24; 1; 480000; 1;</t>
  </si>
  <si>
    <t>REAGENT STRIPS FOR URINALYSIS; REAGENT STRIPS FOR URINALYSIS; 1; 20000; 1;</t>
  </si>
  <si>
    <t>HCG PREGNANCY TEST STRIPS; HCG PREGNANCY TEST STRIPS; 1; 5000; 1;</t>
  </si>
  <si>
    <t>SURGIMED MEDICAL - CHINA</t>
  </si>
  <si>
    <t>GS4412-17 NON-STERILE GAUZE SWABS; GS4412-17 NON-STERILE GAUZE SWABS; PK; 40; H; 1; 1; 400; 2000; 1;</t>
  </si>
  <si>
    <t>IMP/043</t>
  </si>
  <si>
    <t>26MBAIM702037134</t>
  </si>
  <si>
    <t>GS4412-17S STERILE GAUZE SWABS FOLDED EDGES; GS4412-17S STERILE GAUZE SWABS FOLDED EDGES; PK; 84; H; 1; 1; 840; 40320; 1;</t>
  </si>
  <si>
    <t>26NBOEX308787767</t>
  </si>
  <si>
    <t>GR90100-40S GAUZE ROLLS; GR90100 40S GAUZE ROLLS; RO; 15; H; 1; 1; 240; 120; 1;</t>
  </si>
  <si>
    <t>26NBOEX307512483</t>
  </si>
  <si>
    <t>PG1010 PARAFFIN GAUZE; PG1010 PARAFFIN GAUZE; CT; 30; H; 1; 1; 180; 18000; 1;</t>
  </si>
  <si>
    <t>GC75 GAUZE BANDAGE; GC75 GAUZE BANDAGE; CT; 16; H; 1; 1; 128; 16000; 1;</t>
  </si>
  <si>
    <t>26NBOEX309424455</t>
  </si>
  <si>
    <t>SM70066 ELASTIC CREPE BANDAGES; SM70066 ELASTIC CREPE BANDAGES; CT; 24; H; 1; 1; 240; 11520; 1;</t>
  </si>
  <si>
    <t>SM70073 CREPE BANDAGES; SM70073 CREPE BANDAGES; CT; 36; H; 1; 1; 360; 12960; 1;</t>
  </si>
  <si>
    <t>PBVS-4 PLASTER ADHESIVE BANDAID VARIOUS SIZES; 15; 150000; 1;</t>
  </si>
  <si>
    <t>NWP0504 TAPE ADHESIVE PAPER; 50; 9000; 1;</t>
  </si>
  <si>
    <t>TAPE ADHESIVE ZINC OXIDE; 30; 10800; 1;</t>
  </si>
  <si>
    <t>26NBOEX308489369</t>
  </si>
  <si>
    <t>CWR500 ABSORBENT COTTON WOOL ROLL; CWR500 ABSORBENT COTTON WOOL ROLL; CT; 60; H; 1; 1; 900; 1800; 1;</t>
  </si>
  <si>
    <t>1; SMS; MTMUAC-P TAPE MEASURE MUAC COLOURED CODED; OTHER; SMS; MUAC; 6; 6500; 1; 39000; OTHER; 72; 1;</t>
  </si>
  <si>
    <t>1; SMS; MTMUAC-A50 TAPE MEASURE MUAC ADULT WHITE; OTHER; SMS; MUAC; 6; 6500; 1; 39000; OTHER; 104; 1;</t>
  </si>
  <si>
    <t>26NBOEX309328393</t>
  </si>
  <si>
    <t>WEGO SUTURES - CHINA</t>
  </si>
  <si>
    <t>suture, pga, 2, 85mm, 3/8, reverse cutting, 75cm; SATURE; CT; 100; 1; OTHER; 4.9KGS; H; 1;</t>
  </si>
  <si>
    <t>IMP/044</t>
  </si>
  <si>
    <t>26MBAIM702012196</t>
  </si>
  <si>
    <t>Suture, absorbable, synthetic, 2, needle 1/2 rb , 40mm,90cm; SATURE; CT; 100; 1; OTHER; 5KGS; H; 1;</t>
  </si>
  <si>
    <t>26NBOEX308321405</t>
  </si>
  <si>
    <t>Suture, absorbable, synthetic, 1, needle 1/2 rb, 30mm,100cm; SATURE; CT; 100; 1; OTHER; 4.8; H; 1;</t>
  </si>
  <si>
    <t>suture, pga, 1, 40mm, 1/2, round, 90cm; SATURE; CT; 100; 1; 1; 4.7; H; 1;</t>
  </si>
  <si>
    <t>Suture, absorbable, synthetic, 1, needle 3/8 rb ,50mm,75cm; SATURE; CT; 100; 1; OTHER; 4.3; H; 1;</t>
  </si>
  <si>
    <t>Suture, absorbable, synthetic, 1, needle 3/8 rc,50mm,75cm; 1; SATURE; CT; 100; OTHER; 4.3; H; 1;</t>
  </si>
  <si>
    <t>suture, pga, 0, 36mm, 1/2, round, 90cm; SATURE; CT; 100; 1; OTHER; 4.8; H; 1;</t>
  </si>
  <si>
    <t>Suture, absorbable, synthetic, 0, 70 cm, needle 1/2 rb 40mm; SATURE; CT; 100; 1; OTHER; 4.2; H; 1;</t>
  </si>
  <si>
    <t>RMS (RWANDA)</t>
  </si>
  <si>
    <t>EXP/046</t>
  </si>
  <si>
    <t>26NXBOEX309722390</t>
  </si>
  <si>
    <t>suture, pga, 2/0, 26mm, 1/2, round, 70cm; SATURE; CT; 100; 1; OTHER; 4; H; 1;</t>
  </si>
  <si>
    <t>26NBOEX309426596</t>
  </si>
  <si>
    <t>Suture, absorbable, synthetic, 2/0, needle 1/2 rb,30mm,70cm; SATURE; CT; 100; 1; OTHER; 4; H; 1;</t>
  </si>
  <si>
    <t>Suture, absorbable, synthetic, 2/0, needle 3/8 rb, 50mm,75cm; SATURE; CT; 100; 1; OTHER; 4.2; H; 1;</t>
  </si>
  <si>
    <t>Suture, absorbable, synthetic, 2/0, needle 3/8 rc,30mm,70cm; SATURE; CT; 100; 1; OTHER; 4.9KG; H; 1;</t>
  </si>
  <si>
    <t>Suture, absorbable, synthetic, 2/0, needle 3/8 rb, 50 mm,90cm; SATURE; CT; 100; 1; OTHER; 4.5KG; H; 1;</t>
  </si>
  <si>
    <t>Suture, absorbable, synthetic, 2/0, needle 3/8 rc, 30mm,75cm; SATURE; CT; 100; 1; OTHER; 4.2KGS; H; 1;</t>
  </si>
  <si>
    <t>suture, pga, 2/0, 30mm, 1/2, taper, 75cm; SATURE; CT; 100; 1; OTHER; 4.2; H; 1;</t>
  </si>
  <si>
    <t>suture, pga, 3/0, 22mm, 1/2, round, 70cm; SATURE; CT; 100; 1; OTHER; 4; H; 1;</t>
  </si>
  <si>
    <t>suture, pga, 3/0, 26mm, 1/2, round, 75cm; SATURE; CT; 100; 1; OTHER; 4; H; 0;</t>
  </si>
  <si>
    <t>suture, pga, 3/0, 26mm, 3/8, triangular/cutting, 75cm; SATURE; CT; 100; 1; OTHER; 4; H; 1;</t>
  </si>
  <si>
    <t>Suture, absorbable, synthetic, 3/0, 45 cm, needle 3/8 ct 18.5mm; SATURE; CT; 100; 1; OTHER; 3.8; H; 1;</t>
  </si>
  <si>
    <t>suture, Nylon, 0, 30mm, 3/8, cutting, 45cm; SATURE; CT; 100; 1; OTHER; 3.7; H; 1;</t>
  </si>
  <si>
    <t>Suture, non absorbable, synthetic, 1, 70 cm, needle 1/2 rb 40mm; SATURE; CT; 100; 1; OTHER; 3.6; H; 1;</t>
  </si>
  <si>
    <t>suture, Nylon, 1, 30mm, 3/8, cutting, 75cm; SATURE; CT; 100; 1; OTHER; 3.6; H; 1;</t>
  </si>
  <si>
    <t>Suture, non absorbable, synthetic, 1, 75 cm, needle 3/8 rc,37 mm; SATURE; CT; 100; 1; OTHER; 3.6; H; 1;</t>
  </si>
  <si>
    <t>Suture, non absorbable, synthetic, 1, 75 cm, needle 3/8 rb,30mm; SATURE; CT; 100; 1; OTHER; 3.6; H; 1;</t>
  </si>
  <si>
    <t>Suture, non absorbable, synthetic, 2/0, needle 3/8 rb, 50mm (1 PIECE); SATURE; CT; 100; 1; OTHER; 3.2; 1; H;</t>
  </si>
  <si>
    <t>suture, Nylon, 2/0, 1/2, cutting,75cm; SATURE; CT; 100; 1; OTHER; 3.2; H; 1;</t>
  </si>
  <si>
    <t>Suture, non absorbable, synthetic, 2/0, 75 cm, needle 3/8 rc, 30 mm; SATURE; CT; 100; 1; OTHER; 3.2; H; 1;</t>
  </si>
  <si>
    <t>Suture, non absorbable, synthetic, 3/0, 45 cm, needle 3/8 ct 19 mm; SATURE; CT; 100; 1; OTHER; 3.3; H; 1;</t>
  </si>
  <si>
    <t>suture, Nylon, 3/0, 24.3mm, 3/8, cutting, 75cm; SATURE; CT; 100; 1; OTHER; 3.7; H; 1;</t>
  </si>
  <si>
    <t>suture, Nylon, 5/0, 13mm, 1/2, round, 75cm; SATURE; CT; 100; 1; OTHER; 3.5; H; 1;</t>
  </si>
  <si>
    <t>Suture, absorbable, synthetic, 0,150 cm, w/o needle; SATURE; CT; 100; 1; OTHER; 4.9; H; 1;</t>
  </si>
  <si>
    <t>Suture, absorbable, synthetic, 1,150 cm, w/o needle; SATURE; CT; 100; 1; OTHER; 4.9; H; 1;</t>
  </si>
  <si>
    <t>Suture, absorbable, synthetic, 1,75 cm, w/o needle; SATURE; CT; 100; 1; OTHER; 3.4; H; 1;</t>
  </si>
  <si>
    <t>Suture, absorbable, synthetic, 2/0, 150 cm, w/o needle; SATURE; CT; 100; 1; OTHER; 5; H; 1;</t>
  </si>
  <si>
    <t>suture, PGA, 3/0, 150cm, no needle; SATURE; 100; CT; 1; OTHER; 4.4; H; 1;</t>
  </si>
  <si>
    <t>Suture, non absorbable, synthetic, 1, 150 cm, w/o needle; SATURE; CT; 100; 1; OTHER; 3; H; 1;</t>
  </si>
  <si>
    <t>FHC FARMACEUTICA - PORTUGAL</t>
  </si>
  <si>
    <t>METRONIDAZOL BASI 5MG/ML SOL PERF 100ML T.M 50FR-(REG.587614);  UN; PK; 100; 1; Therapeutic 640; H; 1;</t>
  </si>
  <si>
    <t>IMP/045</t>
  </si>
  <si>
    <t>26NBOIM704092739</t>
  </si>
  <si>
    <t>PT</t>
  </si>
  <si>
    <t>S KANT HEALTHCARE - INDIA</t>
  </si>
  <si>
    <t xml:space="preserve">PAEDIATRIC CO-TRIMOXAZOLE ORAL SUSPENSION BP 240 MG/5 ML; PX; 227; 1; THERAPEUTIC; 19068; 2905.60; H; 1; </t>
  </si>
  <si>
    <t>IMP/046</t>
  </si>
  <si>
    <t>26MBAIM702362150</t>
  </si>
  <si>
    <t>SIRMAXO CHEMICALS - INDIA</t>
  </si>
  <si>
    <t>SANI CALAMINE-100 ML; Calamine Lotion BP 15%; BX; 125; 1; Therapeutic; 10000; H; 1;</t>
  </si>
  <si>
    <t>IMP/047</t>
  </si>
  <si>
    <t>26MBAIM702363171</t>
  </si>
  <si>
    <t>26NBOEX310020564</t>
  </si>
  <si>
    <t>BIOLAND - CHINA</t>
  </si>
  <si>
    <t>N; 1; DIGITAL THERMOMETER T103; DIGITAL THERMOMETER T103; 1; BIOLAND; 7; 204; 1; 1; 43.2; 1;</t>
  </si>
  <si>
    <t>IMP/048/A</t>
  </si>
  <si>
    <t>26MBAIM702379414</t>
  </si>
  <si>
    <t>26NBOEX308489690</t>
  </si>
  <si>
    <t>AMEX EXPORT - IMPORT GmbH</t>
  </si>
  <si>
    <t>1; MEDICAL REFRIDERATOR 2-8 °; MEDICAL REFRIDERATOR 2-8 °; AMEX; HAIER; 4; 1; PO.302005070; 2026; 4; 424;1;</t>
  </si>
  <si>
    <t>IMP/048/B</t>
  </si>
  <si>
    <t>26MBAIM702378112</t>
  </si>
  <si>
    <t>JIANGXI HONGDA - CHINA</t>
  </si>
  <si>
    <t>H; 1; Sterile syringe for single use, 10ml; Sterile syringe for single use, 10ml; OT; JIANGXI; OT; 5; 6000; S10S; OT; 11.78; 1;</t>
  </si>
  <si>
    <t>IMP/049</t>
  </si>
  <si>
    <t>26MBAIM702381621</t>
  </si>
  <si>
    <t>H; 1; Sterile syringe for single use, 5ml; Sterile syringe for single use, 5ml; OT; JIANGXI; OT; 9; 18000; 1; OT; 12.5; 1;</t>
  </si>
  <si>
    <t>26NBOEX308344363</t>
  </si>
  <si>
    <t>H; 1; Sterile syringe for single use, 2ml 21600; Sterile syringe for single use, 2ml 21600; OT; JIANGXI; OT; 8; 21600; S02S; OT; 6.79; 1;</t>
  </si>
  <si>
    <t>H; 1; Syringe, luer (slip), sterile 21G×1½ ''needle, 10ml; ; OT; JIANGXI; OT; 1; 18000; S10S21G40; OT; 13.56; 1;</t>
  </si>
  <si>
    <t>H; 1; Syringe, luer (slip), sterile,21G×1½ ''needle, 5ml;  OT; JIANGXI; OT; 5; 9000; S05S21G40; OT; 12; 1;</t>
  </si>
  <si>
    <t>1; OT; H; Sterile syringe for single use, 3ml, 23G×1¼'';  JIANGXI; OT; 18; 43200; S03S23G32; OT; 13.56; 1;</t>
  </si>
  <si>
    <t>H; 1; Syringe, luer (slip), sterile, 24G ×1''needle, 5ml;  OT; JIANGXI; OT; 5; 9000; S05S24G; 1; 11.5; 1;</t>
  </si>
  <si>
    <t>H; 1; Giving set, IV infusion, sterile,pediatric, with 150mL burette 60 drops/mL;  OT; JIANGXI; OT; 1; 4000; DS3150LW; 1; 13.5; 1;</t>
  </si>
  <si>
    <t>H; 1; catheter, foley, 2-way, sterile, CH06,3mL; Catheter, foley, 2-way, sterile, CH06,3mL; OT; JIANGXI; OT; 5; 2500; FR06D; 1; 34; 1;</t>
  </si>
  <si>
    <t>H; 1; Catheter, foley, 2-way, sterile, CH08, 3ml 2500; JIANGXI; OT; 5; 2500; FR08D; 1; 7; 1;</t>
  </si>
  <si>
    <t>H; 1; Catheter, foley, 2-way, sterile, CH10, 3ml; Catheter, foley, 2-way, sterile, CH10, 3ml; OT; JIANGXI; OT; 3; 1500; FR10D; 1; 8.5; 1;</t>
  </si>
  <si>
    <t>H; 1; Catheter, foley, 2-way, sterile, CH12, 5 10ml; Catheter, foley, 2-way, sterile, CH12, 5-10ml; OT; JIANGXI; OT; 3; 1500; FR12D; OT; 8.8; 1;</t>
  </si>
  <si>
    <t>26NBOEX309428172</t>
  </si>
  <si>
    <t>H; 1; Catheter, foley, 2-way, sterile, CH14, 5 10ml; Catheter, foley, 2-way, sterile, CH14, 5-10ml; OT; JIANGXI; OT; 15; 7500; FR14D; 1; 9.9; 1;</t>
  </si>
  <si>
    <t>H; 1; Catheter, foley, 2-way, sterile, CH16, 5 10ml; OT; JIANGXI; OT; 15; 7500; FR16D; 1; 10.38; 1;</t>
  </si>
  <si>
    <t>H; 1; Catheter, foley, 2-way, sterile, CH18, 5 10ml; Catheter, foley, 2-way, sterile, CH18, 5-10ml; OT; JIANGXI; OT; 15; 7500; FR18D; 1; 10.8; 1;</t>
  </si>
  <si>
    <t>H; 1; Giving set, intravenous infusion,sterile, with airinlet + needle, 21G×1½'';  OT; JIANGXI; OT; 19; 9500; B101L; OT; 11.85; 1;</t>
  </si>
  <si>
    <t>26NBOEX308789046</t>
  </si>
  <si>
    <t>H; 1; LUER; needle,luer ,sterile, 21 G x 1 ½ ” (0.8 x 40 mm ) green; AMEX; JIANGXI; 1; 10; 1000; NEEDLE; 1; 119.5; 1;</t>
  </si>
  <si>
    <t>IMP/050</t>
  </si>
  <si>
    <t>26MBAIM702380180</t>
  </si>
  <si>
    <t>26NBOEX308345309</t>
  </si>
  <si>
    <t>H; 1; needle,luer ,sterile, 23G x 1 ¼ ” (0.6x 32 mm ) blue; NEEDLE; AMEX; JIANGXI; 1; 10; 1000; 1; 1; 100.5; 1;</t>
  </si>
  <si>
    <t>H; 1; LUER; needle,luer ,sterile, 25G x 1 ” (0.5x 25 mm ) orange; AMEX; JIANGXI; 1; 10; 1000; 1; 1; 98.5; 1;</t>
  </si>
  <si>
    <t>FOLIC ACID TABLETS BP 5MG B/no:26MA065; JR; 441; 1; THERAPEUTIC; 57.38; H; 1;</t>
  </si>
  <si>
    <t>IMP/051</t>
  </si>
  <si>
    <t>26MBAIM702523046</t>
  </si>
  <si>
    <t>26NBOEX308132201</t>
  </si>
  <si>
    <t>MEDOPHARM; DOXYCYCLINE TABLETS BP 100MG; PP; 599; 100MG; H; 1;</t>
  </si>
  <si>
    <t>IMP/052</t>
  </si>
  <si>
    <t>26MBAIM702522207</t>
  </si>
  <si>
    <t>26NBOEX309427226</t>
  </si>
  <si>
    <t>MEDOPHARM; PARACETAMOL TABLETS BP 500MG; PP; 1000; 500MG; 1; 500MG; H; 1;</t>
  </si>
  <si>
    <t>MEDOPHARM; FOLICACID TABLETS BP 5MG; PP; 1000; 5MG; 1; 5MG; H; 1;</t>
  </si>
  <si>
    <t>MEDOPHARM; AMOXICILLIN TABLETS USP 250MG; PP; 478; 250MG; 1; 250MG; H; 1;</t>
  </si>
  <si>
    <t>MEDOPHARM; IBUPROFEN TABLETS BP 200MG; PP; 500; 200MG; 1; 200MG; H; 1;</t>
  </si>
  <si>
    <t>MEDOPHARM; METFORMIN TABLETS BP 500MG; PP; 500; 1; 500MG; H; 1;</t>
  </si>
  <si>
    <t>MEDOPHARM; GASTRO RESISTANT OMEPRAZOLE CAPSULES BP 20MG; PP; 498; 20MG; 1; 20MG; H; 1;</t>
  </si>
  <si>
    <t>NAIROBI ENTERPRISES - KENYA</t>
  </si>
  <si>
    <t>SANICLIN SANITIZER 100ML 600PCS; NEL; PP; 120; 5; N; 1; 1; OTHER; 72.85;</t>
  </si>
  <si>
    <t>IMP/053</t>
  </si>
  <si>
    <t>26NBOIM704424394</t>
  </si>
  <si>
    <t>26NBOEX308421484</t>
  </si>
  <si>
    <t>MISSIONPHARMA 2 - INDIA</t>
  </si>
  <si>
    <t>Nystatin 100.000 IU/ml, 30ml, susp. liq. Bot glass Ind w/drop+PIL; CT; 1000; 1; Therapeutic; 117; H; 1;</t>
  </si>
  <si>
    <t>IMP/054</t>
  </si>
  <si>
    <t>26NBOIM704830454</t>
  </si>
  <si>
    <t>Erythromycin 125mg/5ml, 100ml as Ethyl Succinate, pfs Bot plastic,PIL; CT; 200; 1; Therapeutic; 66.2; H; 1;</t>
  </si>
  <si>
    <t>PU-AID (AFGHANISTAN)</t>
  </si>
  <si>
    <t>26NBOEX307183706</t>
  </si>
  <si>
    <t>Hydrocortisone 100mg as Sod. Succinate, powder for injection Vial, glass, ind,PI; CT; 8600; 1; Therapeutic; 207; H; 1;</t>
  </si>
  <si>
    <t>26NBOEX307962219</t>
  </si>
  <si>
    <t>Misoprostol 0.2mg AluAlu Bli,PIL; CT; 2000; 1; Therapeutic; 26.1; H; 1;</t>
  </si>
  <si>
    <t>MISSIONPHARMA 1 - INDIA</t>
  </si>
  <si>
    <t>Azithromycin 250mg Bli 1x6,PIL; PK; 2500; 250mg; Therapeutic; 1; H; 1;</t>
  </si>
  <si>
    <t>IMP/055</t>
  </si>
  <si>
    <t>26NBOIM704828536</t>
  </si>
  <si>
    <t>26NBOEX307960335</t>
  </si>
  <si>
    <t>26NBOEX309330683</t>
  </si>
  <si>
    <t>Benzathyne Benzylpenicilin 1.2M IU, powder for injection Vial, glass, hospi,PIL; PK; 200; 50 Vials; Therapeutic; 1; H; 1;</t>
  </si>
  <si>
    <t>Benzathyne Benzylpenicilin 2.4M IU, PFI Vial, glass, hospi,PIL; PK; 500; 10 Vials; Therapeutic; 1; H; 1;</t>
  </si>
  <si>
    <t>Fluoxetine 20mg, as HCI Bli 10x10,PI; PK; 600; 100 Caps; Therapeutic; 1; H; 1;</t>
  </si>
  <si>
    <t>Gentamicin 40mg/ml, 2ml Amp glass,PIL; PK; 1000; 10 Amps; Therapeutic; 1; H; 1;</t>
  </si>
  <si>
    <t>26NBOEX308132806</t>
  </si>
  <si>
    <t xml:space="preserve">Hyoscine Butylbromide 20mg/ml, 1ml Amp glass,PIL; PK; 50; 100Amp; Therapeutic; 1; H; 1; </t>
  </si>
  <si>
    <t>Vitamin A 100.000IU (Retinol) Bli 10x10,PIL; PK; 350; 100 Caps; Therapeutic; 1; H; 1;</t>
  </si>
  <si>
    <t>Vitamin A 100.000IU (Retinol) Bli 10x10,PIL; PK; 200; 100 Caps; Therapeutic; 1; H; 1;</t>
  </si>
  <si>
    <t>LABORATORIO - ALDO UNION - SPAIN</t>
  </si>
  <si>
    <t>1633-BUTOASMA AEROSOL BILINGUE (HFA); CT; 15; 1; Therapeutic; 63KG; H; 1500; 1; - Salbutamol</t>
  </si>
  <si>
    <t>IMP/056</t>
  </si>
  <si>
    <t>26NBOIM705125499</t>
  </si>
  <si>
    <t>26NBOEX309659457</t>
  </si>
  <si>
    <t>PAEDIATRIC PARACETAMOL ORAL SOLUTION BP 120MG/5ML (PARAKANT) UNITS :60ML BX; 40; 1; THERAPEUTIC; 4000; 4000; H; 100; 1;</t>
  </si>
  <si>
    <t>IMP/057</t>
  </si>
  <si>
    <t>26NBOIM705225318</t>
  </si>
  <si>
    <t>26NBOEX308125797</t>
  </si>
  <si>
    <t>CROWN SOLUTIONS - KENYA</t>
  </si>
  <si>
    <t>H; 1; CROWN; ACON ON CALL PLUS GLUCOMETER ONLY; OTHER; CROWN; 1; 8; LDC-030; OTHER; 1.7;</t>
  </si>
  <si>
    <t>IMP/058</t>
  </si>
  <si>
    <t>26NBOIM704666860</t>
  </si>
  <si>
    <t>26NBOEX307611605</t>
  </si>
  <si>
    <t>PHILIP CHAPPER - UK</t>
  </si>
  <si>
    <t>METOCLOPRAMIDE INJECTION 5mg/mL X 2mL X 10 PK; 1; 1; THERAPEUTIC; 14.8800; H; 500; 1;</t>
  </si>
  <si>
    <t>IMP/059</t>
  </si>
  <si>
    <t>26NBOIM705357347</t>
  </si>
  <si>
    <t>HYDREA (HYDROXYCARBAMIDE) CAPSULES 500mg X 100; PK; 1; 1; THERAPEUTI; 32.0800; H; 176; 1;</t>
  </si>
  <si>
    <t>26NBOEX309176749</t>
  </si>
  <si>
    <t>HYOSCINE BUTYLBROMIDE FILM-COATED TABLETS 10mg x 56 MORNINGSIDE; PK; 1; 1; THERAPEUTIC; 14.04; H; 200; 1;</t>
  </si>
  <si>
    <t>SURGILABS; AUTOCLAVABLE SURGICAL NAIL BRUSHES; 60; 1;</t>
  </si>
  <si>
    <t>IMP/060</t>
  </si>
  <si>
    <t>26NBOIM705263623</t>
  </si>
  <si>
    <t>26NBOEX309031031</t>
  </si>
  <si>
    <t>26NBOEX309033320</t>
  </si>
  <si>
    <t>PER.FUMAR.. 185&amp;FOL.ACID 0.4FC TAB (10X10); CT; 1930; 1; THERAPEUTIC; 100.15; H;</t>
  </si>
  <si>
    <t>IMP/061</t>
  </si>
  <si>
    <t>26NBOIM705681848</t>
  </si>
  <si>
    <t>26NBOEX309329058</t>
  </si>
  <si>
    <t>CALCIUM GLUCONATE 100mg/ml injection in 10ml AMPOULE; 12000; BX; 73; 1; THERAPEUTIC; 2787; H; 1;</t>
  </si>
  <si>
    <t>IMP/062</t>
  </si>
  <si>
    <t>26NBOIM706065113</t>
  </si>
  <si>
    <t>TYVEK ISOCLEAN HOOD WITH INTERGRATED MASK; 1; 2700; 2700; 1;</t>
  </si>
  <si>
    <t>IMP/063</t>
  </si>
  <si>
    <t>26NBOIM706257444</t>
  </si>
  <si>
    <t>LU</t>
  </si>
  <si>
    <t>26NBOEX308197720</t>
  </si>
  <si>
    <t>SIGMA VIROCULT-STANDARD PLASTIC FOAM PRINTED BREAKPOINT; 20; 1;</t>
  </si>
  <si>
    <t>CARL ZEISS ANTI-FOG KIT WITH 300ml CONTENT; AMEX; PK; 49; 1; N; 1; 1; 5.4; 1;</t>
  </si>
  <si>
    <t>OPTIPLUS ANTI-FOG SPRAY WITH 30 ml CONTENT FOR LONG-LASTING FOG PROTECTION; AMEX; PK; 21; 1; N; 1; 1; 3.39; 1;</t>
  </si>
  <si>
    <t>2 PACK 10M LASHING STRAPS WITH RATCHET LOCK AND SHOCK 25MM; 10; 1;</t>
  </si>
  <si>
    <t>SPARTAN RELIEF - KENYA</t>
  </si>
  <si>
    <t>N; PATIENT REGISTRAR, 2 QUIRE A4 KASUKU BRAND; 60; 1;</t>
  </si>
  <si>
    <t>IMP/064</t>
  </si>
  <si>
    <t>26NBOIM705264355</t>
  </si>
  <si>
    <t>CUP, PLASTIC 300ML, GRADUATED WITH HANDLE; CUP, SPARTAN; PP; 600; 10; N;</t>
  </si>
  <si>
    <t>CUP, PLASTIC 500ML, WITHOUT HANDLE; SPARTAN; CT; 600; 2; N;</t>
  </si>
  <si>
    <t>SPOON, MULTI-USE/SOUP, 15ML, FOODGRADE PLASTIC, DISPOSABLE;  SPARTAN; PP; 1200; 1; N;</t>
  </si>
  <si>
    <t>JUG, MEASURING, 1 LITRE, GRADUATED, WITH BEAK AND HANDLE, POLYPROPYLENE;  SPARTAN; CT; 420; 3; N;</t>
  </si>
  <si>
    <t>BUCKET, PLASTIC (HDPE), 14 LITRES WITH CLIP COVER AND 52MM OUTLET/TAP (OXFAM BUC; SPARTAN; CT; 420; 28; N;</t>
  </si>
  <si>
    <t>JERRYCAN,FOOD GRADE LDPE, FOLDABLE. 10 LITRES, WITH BUILD IN HALDLE &amp; TAP;  SPARTAN; PP; 120; 4; N; 1;</t>
  </si>
  <si>
    <t>1; PLASTIC CASING CERAMIC FILTER (FAIREY); PLASTIC CASING CERAMIC FILTER (FAIREY); SPARTAN; 30; 30; 1; 2026; 1; 10;</t>
  </si>
  <si>
    <t>RUBBISH BIN, 18LTRS, PEDAL BIN; SPARTAN; PP; 60; 10;</t>
  </si>
  <si>
    <t>WASTE DISPOSAL BAGS( YELLOW, BLUE, RED AND BLACK); SPARTAN; PC; 120; 32; N; 1;</t>
  </si>
  <si>
    <t>SPOON, STIRRING, WOOD , 30CM; 60; 1;</t>
  </si>
  <si>
    <t>SOAP, TOILET, DETTOL 85G; 600; 9; N;</t>
  </si>
  <si>
    <t>BUCKET FOR PATIENTS(STOOL AND VOMIT) 20L; SPARTANS; PP; 600; 55;</t>
  </si>
  <si>
    <t>ROPE, POLYPROPYLENE, 3MMX5M, WHITE;</t>
  </si>
  <si>
    <t>N; FACE MASKS, DISPOSABLE, BLUE COLOUR, PACKS OF 50; OTHER; 200; 4;</t>
  </si>
  <si>
    <t>HAND SANITIZER, 500ML; SPARTAN; PP; 900; 38; N; 1; 1; 1; 450;</t>
  </si>
  <si>
    <t>PLASTIC APRONS, WHITE, PVC MATERIAL; SPARTAN; PP; 300; 3; N;</t>
  </si>
  <si>
    <t>RUBBER GLOVES FOR DISHWASHING SIZE; CLEAR GLOVES LATEX GLOVES; SPARTANS; BG; 300; 13; N;</t>
  </si>
  <si>
    <t>AQUATABS 8.68G (60 TABLETS PER TUB); SPARTAN; PP; 33; 6; N; 1; 1; 1; 25;</t>
  </si>
  <si>
    <t>BAYMRO SAFETY - CHINA</t>
  </si>
  <si>
    <t>N; FFP2 MASKS; XY011 FFP2 MASKS; 2700; 2700; 1;</t>
  </si>
  <si>
    <t>IMP/065</t>
  </si>
  <si>
    <t>26EMKIM700630099</t>
  </si>
  <si>
    <t>26NBOEX308197936</t>
  </si>
  <si>
    <t>N; BDP612-1G DISPOSABLE GOWN; NON WOVEN; 600; 600; 1;</t>
  </si>
  <si>
    <t>N; AMN428ETS COVERALL HOODED SIZE: L; NONWOVEN; 1350; 1350; 1;</t>
  </si>
  <si>
    <t>N; AMN428ETS COVERALL HOODED SIZE: XL; NONWOVEN; 1350; 1350; 1;</t>
  </si>
  <si>
    <t>N; BP160 OT SET TROUSERS AND SHIRTS SIZE: L; NONWOVEN; 2550; 2550; 1;</t>
  </si>
  <si>
    <t>N; BP160 OT SET TROUSERS AND SHIRTS SIZE: XL; NON WOVEN; 2550; 2550; 1;</t>
  </si>
  <si>
    <t>BDP461 DISPOSABLE APRON; BAYMRO SAFETY CHINA CO., LTD; PP; 600; 1; N; 1;</t>
  </si>
  <si>
    <t>OTR200-5 BIOHAZARD BAG; BAYMRO SAFETY CHINA CO., LTD; PP; 4100; 1; 1; 1;</t>
  </si>
  <si>
    <t>1; 8533V SAFETY GOGGLES; BAYMRO SAFETY CHINA CO., LTD; 260; 8533V SAFETY GOGGLES; 1; 8533V SAFETY GOGGLES; 36 KG; 1;</t>
  </si>
  <si>
    <t>BP138 APRON HEAVY DUTY; BAYMRO SAFETY CHINA CO., LTD; PP; 250; 1; N; 1;</t>
  </si>
  <si>
    <t>BM1477 HAND GLOVES; INDUSTRY GLOVES; BAYMRO SAFETY CHINA CO., LTD; PP; 250; 1; N; 1;</t>
  </si>
  <si>
    <t>N; DW-F006 FOLDABLE STRETCHER; 1; 30; 30; 1;</t>
  </si>
  <si>
    <t>1; 12L KNAPSACK; BAYMRO SAFETY CHINA CO., LTD; 70; 70; 1; 2026; 1; 216.1 KG; 1;</t>
  </si>
  <si>
    <t>BBAGADULT400W ADULT BODY BAG WITH WINDOW; BAYMRO SAFETY CHINA CO., LTD; PP; 510; 1; 1; 1;</t>
  </si>
  <si>
    <t>BBAGCHILD400W CHILD BODY BAG WITH WINDOW; BAYMRO SAFETY CHINA CO., LTD; PP; 300; 1; 1; 1;</t>
  </si>
  <si>
    <t>MEDENTECH - IRELAND</t>
  </si>
  <si>
    <t xml:space="preserve"> Aquatabs 8.6gm 60s (G); Medentech; TU; 576; 1; Aquatabs 8.6gm 60s (G); 1; 1; Aquatabs 8.6gm 60s (G); 691 KG; 576; 1;</t>
  </si>
  <si>
    <t>IMP/066</t>
  </si>
  <si>
    <t>26NBOIM706624020</t>
  </si>
  <si>
    <t>IE</t>
  </si>
  <si>
    <t>26NBOEX308197599</t>
  </si>
  <si>
    <t>CIRON DRUGS - INDIA</t>
  </si>
  <si>
    <t>DICLOFENAC SODIUM INJECTION BP 25 MG/ML; PP; 10000; 25 MG/ML; THERAPEUTIC; 310; H; 1;</t>
  </si>
  <si>
    <t>IMP/067/A</t>
  </si>
  <si>
    <t>26MBAIM703781909</t>
  </si>
  <si>
    <t>IBUPROFEN ORAL SUSPENSION BP 100 MG/5ML (IBUKANT); BX; 19400; 100MG; 100ML; 100ML; H; 243; 1;</t>
  </si>
  <si>
    <t>IMP/067/B</t>
  </si>
  <si>
    <t>26MBAIM703769116</t>
  </si>
  <si>
    <t>26NBOEX309329190</t>
  </si>
  <si>
    <t>PAEDIATRIC PARACETAMOL ORAL SOLUTION BP 120MG/5ML (PARAKANT); BX; 45000; 120MG/GML; 120MG/GML; 120MG/GML; H; 450; 1;</t>
  </si>
  <si>
    <t>CHLORPHENAMINE TABLETS BP 4MG; B.No.: 26MC009; PP; 1000; 1; THERAPEUTIC; 21.2; H; 1;</t>
  </si>
  <si>
    <t>IMP/067/C</t>
  </si>
  <si>
    <t>26MBAIM703781968</t>
  </si>
  <si>
    <t>PARACETAMOL TABLETS BP 100MG; B.No.: 26B105; PP; 10000; 1; THERAPEUTIC; 330.47; H; 1;</t>
  </si>
  <si>
    <t>CHEWABLE COMPOUND MAGNESIUM TRISILICATE TABLES BP; B.No.: 26B107; PP; 500; 1; THERAPEUTIC; 445.5; H; 1;</t>
  </si>
  <si>
    <t>IBUPROFEN TABLETS BP 400MG; B.No.: 26B119; PP; 500; 1; THERAPEUTIC; 317; H; 1;</t>
  </si>
  <si>
    <t>MULTIVITAMIN TABLETS; B.No.: 26MB065; PP; 1000; 1; THERAPEUTIC; 176.4; H; 1;</t>
  </si>
  <si>
    <t>AMOXICILLIN TABLETS USP 500MG; B.No.: 26489001/B.No.: 26489001; PP; 4912; 1; THERAPAUTIC; 458.28; H; 1;</t>
  </si>
  <si>
    <t>METRONIDAZOLE TABLETS BP 500MG; BX; 500; 500MG; THERAPEUTIC; 464.22; H; 1;</t>
  </si>
  <si>
    <t>IMP/067/D</t>
  </si>
  <si>
    <t>26MBAIM703782408</t>
  </si>
  <si>
    <t>26NBOEX308491999</t>
  </si>
  <si>
    <t>CO AMOXICLAV TABLETS BP 625MG; BX; 1995; 625MG; THERAPEUTIC; 335.95; H; 1;</t>
  </si>
  <si>
    <t>AMOXICILLIN AND CLAVULANATE POTASSIUM FOR ORAL SUSPENSION USP 156.25MG/5ML; BX; 10035; 156.25MG; THERAPEUTIC; 503.75; H; 1;</t>
  </si>
  <si>
    <t>AMOXICILLIN; AMOXICILLIN ORAL SUSPENSION BP 125MG/5ML; PP; 10023; 100ML; AMOXICILLIN; 125MG/5ML; H; 1;</t>
  </si>
  <si>
    <t>IMP/067/E</t>
  </si>
  <si>
    <t>26MBAIM703782028</t>
  </si>
  <si>
    <t>AMOXICILLIN; AMOXICILLIN ORAL SUSPENSION BP 250MG/5ML; PP; 10134; 100ML; AMOXICILLIN; 250MG/5ML; H; 1;</t>
  </si>
  <si>
    <t>METRONIDAZOLE TABLETS BP 250MG; BX; 818; 250MG; THERAPEUTIC; 48.37; H; 1;</t>
  </si>
  <si>
    <t>IMP/067/F</t>
  </si>
  <si>
    <t>26MBAIM703782424</t>
  </si>
  <si>
    <t>SANICLIN SANITIZER 100ML 5860PCS; NEL; PP; 5860; 43; N; 1; 1; OTHER; 736;</t>
  </si>
  <si>
    <t>IMP/068</t>
  </si>
  <si>
    <t>26NBOIM706901256</t>
  </si>
  <si>
    <t>26NBOEX308196982</t>
  </si>
  <si>
    <t>BODY BAG WITH WINDOW, ADULT , 400 MICRONS, PEVA, 230*100CM; BODY BAG WITH WINDOW, ADULT; AMEX; 6000; PP; 5; 1200; 1; 50; 1;</t>
  </si>
  <si>
    <t>IMP/069</t>
  </si>
  <si>
    <t>26NBOIM706961043</t>
  </si>
  <si>
    <t>26NBOEX308483867</t>
  </si>
  <si>
    <t>BODY BAGS CHILDREN BODY BAG WHITE, BIOHAZARD, 400 MICRO; BODY BAGS CHILDREN BODY BAG; AMEX; 2000; PP; 5; 400; 1; 14; 1;</t>
  </si>
  <si>
    <t>GLAND PHARMA - INDIA</t>
  </si>
  <si>
    <t>TRANEXAMIC ACID INJECTION 100MG/ML, 10ML AMPOULE; PX; 33; 100MG/ML; THERAPEUTIC; 100MG/ML; H; 640; 2; 10560; 640; 1;</t>
  </si>
  <si>
    <t>IMP/070</t>
  </si>
  <si>
    <t>26NBOIM707236412</t>
  </si>
  <si>
    <t>26NBOEX307964052</t>
  </si>
  <si>
    <t>EXP/044</t>
  </si>
  <si>
    <t>26NBOEX309078696</t>
  </si>
  <si>
    <t>PALINTEST - UK</t>
  </si>
  <si>
    <t>1; N; 1; POTATECH + KIT, WAGTECH; POTATECH + KIT, WAGTECH; 1;</t>
  </si>
  <si>
    <t>IMP/071</t>
  </si>
  <si>
    <t>26NBOIM707186423</t>
  </si>
  <si>
    <t>HARDNESS, PHOT,0-300MG/L CACO,250 TESTS; 2; N; 1;</t>
  </si>
  <si>
    <t>CHLORIDE,PHOT,0-50,000MG/L NACL,250 TESTS; 1; N; 1;</t>
  </si>
  <si>
    <t>FLUORIDE, PHOT, 0-1.5MG/L F, 200 TESTS; 1; N; 1;</t>
  </si>
  <si>
    <t>SULFATE, PHOT, 0-200MG/L SO 250 TESTS; 1; N; 1;</t>
  </si>
  <si>
    <t>IRON HR, PHOT, 0 - 10MG/L FE,250 TESTS; 1; N; 1;</t>
  </si>
  <si>
    <t>NITRATEST, PHOT, 0=20.0MG/L NO3,200 TESTS; 1; N; 1;</t>
  </si>
  <si>
    <t>NITRICOL, PHOT, 0 - 5MG/L NO2,250 TESTS; 1; N; 1;</t>
  </si>
  <si>
    <t>AMMONIA, PHOT, 0 - 1.0 MG/L (N)- 250 TESTS; 1; N;</t>
  </si>
  <si>
    <t>MANGANESE LR, PHOT, 0 0.03MG/L MN, 250 TESTS; 1; N; 1;</t>
  </si>
  <si>
    <t>LEAD SENSOR PACK; 15; N; 1;</t>
  </si>
  <si>
    <t>DPD1, CHLORINE(FREE),PHOT,0-5MG/L CL2,250 TESTS; 20; N; 1;</t>
  </si>
  <si>
    <t>KENPOLY - KENYA</t>
  </si>
  <si>
    <t>BASIN NO.45 NDEGE- S/MKT COLS; KENPOLY; PP; 72; 72;</t>
  </si>
  <si>
    <t>IMP/072</t>
  </si>
  <si>
    <t>26NBOIM707288054</t>
  </si>
  <si>
    <t>26NBOEX308500610</t>
  </si>
  <si>
    <t>CHEMOQUIP - KENYA</t>
  </si>
  <si>
    <t>H; 1; BD SAFETY LOK BLOOD COLLECTION SET 21G 367282; COLLECTION SET; CHEMOQUIP; 1; 14; OTHER; OTHER; 7;</t>
  </si>
  <si>
    <t>IMP/073</t>
  </si>
  <si>
    <t>26NBOIM707287314</t>
  </si>
  <si>
    <t>26NBOEX308499797</t>
  </si>
  <si>
    <t>SAI PHARMACEUTICALS - KENYA</t>
  </si>
  <si>
    <t>300; N; 10; SAI; SENIOR ADULT DIAPER L 10'S; 30;</t>
  </si>
  <si>
    <t>IMP/074</t>
  </si>
  <si>
    <t>26NBOIM707293653</t>
  </si>
  <si>
    <t>26NBOEX308499323</t>
  </si>
  <si>
    <t>1000; TOOTHBRUSH; 500; 2;</t>
  </si>
  <si>
    <t>IMP/075</t>
  </si>
  <si>
    <t>26NBOIM707658180</t>
  </si>
  <si>
    <t>26NBOEX308498262</t>
  </si>
  <si>
    <t>COLGATE TOOTHPASTE 30G; COLGATE; PP; 500; 2; 30GM; 1000;</t>
  </si>
  <si>
    <t>26NBOEX308499176</t>
  </si>
  <si>
    <t>26NBOEX309427970</t>
  </si>
  <si>
    <t>26NBOEX309469612</t>
  </si>
  <si>
    <t>26NBOEX309470510</t>
  </si>
  <si>
    <t>26NBOEX309448209</t>
  </si>
  <si>
    <t>IMC (SOMALIA)</t>
  </si>
  <si>
    <t>EXP/050</t>
  </si>
  <si>
    <t>26NBOEX310039878</t>
  </si>
  <si>
    <t>EXP/051</t>
  </si>
  <si>
    <t>26NBOEX309991956</t>
  </si>
  <si>
    <t>EGYPTIAN INTERNATIONAL PHARM. - EGYPT</t>
  </si>
  <si>
    <t>WATER FOR INJECTION PROAMP 5ML B50 FR; WATER FOR INJECTION PROAMP 5ML B50 FR; CT; 13; 1; THERAPEUTIC; 209; H; 500; 1;</t>
  </si>
  <si>
    <t>UNILYTE N 20.56GM; UNILYTE N 20.56GM; CT; 35; 1; THERAPEUTIC; 1000; 35000; H</t>
  </si>
  <si>
    <t>IMP/082</t>
  </si>
  <si>
    <t>26NBOIM709074650</t>
  </si>
  <si>
    <t>DISPERSIBLE CO-TRIMOXAZOLE TABLETS BP 120MG; DISPERSIBLE CO TRIMOXAZOLE TABLETS BP 120MG; PA; 30; 1; Therapeutic; 0.96CBM; H; 598; 1;</t>
  </si>
  <si>
    <t>IMP/083</t>
  </si>
  <si>
    <t>26MBAIM705178300</t>
  </si>
  <si>
    <t>MEPRO PHARM. PVT.LTD - INDIA</t>
  </si>
  <si>
    <t>CLOTRIMAZOLE CREAM USP 1% W/W; CLOTRIMAZOLE CREAM USP 1% W/W; BX; 60; 1; THERAPEUTIC; 28800; 590.40; H; 1;</t>
  </si>
  <si>
    <t>IMP/084</t>
  </si>
  <si>
    <t>26MBAIM705178830</t>
  </si>
  <si>
    <t>26NBOEX309328765</t>
  </si>
  <si>
    <t>SILVER SULFADIAZINE CREAM USP 1% W/W; SILVER SULFADIAZINE CREAM USP 1% W/W; BX; 50; 1; THERAPEUTIC; 9850; 497.43; H; 1;</t>
  </si>
  <si>
    <t>MACLEODS PHARM. LIMITED - INDIA</t>
  </si>
  <si>
    <t>METROZOL 125 ORAL SUSPENSION (METRONIDAZOL) (AUSTRIA) (AFGHAN); CT; 81; 125 ORAL; I; 577.92; H; 4816; 1;</t>
  </si>
  <si>
    <t>IMP/085</t>
  </si>
  <si>
    <t>26MBAIM705192838</t>
  </si>
  <si>
    <t>METRONIDAZOL E TABLET BP 250MG; METRONIDAZOL E TABLET BP 250MG; BX; 32; 250MG;</t>
  </si>
  <si>
    <t>IMP/086</t>
  </si>
  <si>
    <t>26MBAIM705196796</t>
  </si>
  <si>
    <t>AZITHROMYCIN TABLETS USP 500MG; AZITHROMYCIN TABLETS USP 500MG;</t>
  </si>
  <si>
    <t>IMP/087</t>
  </si>
  <si>
    <t>26MBAIM705199136</t>
  </si>
  <si>
    <t>ZINC SULFATE DISPERSIBLE TABLETS 20MG (10 X 10’S TABLETS) WITH DATA LOGGER; ZINC SULFATE DISPERSIBLE TABLETS 20MG (10 X 10’S TABLETS) WITH DATA LOGGER; CT; 114; 1; Therapeutic; 1; H; 11968; 1</t>
  </si>
  <si>
    <t>IMP/088</t>
  </si>
  <si>
    <t>26MBAIM705220858</t>
  </si>
  <si>
    <t>AMMAN PHARM. INDUSTRIES - JORDAN</t>
  </si>
  <si>
    <t>OPTICYCLIN E/O; TETRACYCLINE HYDROCHLORIDE; TU; 28; 1; Therapeutic; 1.79; H; 2000; 1;</t>
  </si>
  <si>
    <t>IMP/089</t>
  </si>
  <si>
    <t>26NBOIM709930572</t>
  </si>
  <si>
    <t>JO</t>
  </si>
  <si>
    <t>AMEX Healthcare GmbH - AUSTRIA</t>
  </si>
  <si>
    <t>Acetylsalicylic acid, 75 mg, tab</t>
  </si>
  <si>
    <t>IMP/090</t>
  </si>
  <si>
    <t>26NBOIM710173420</t>
  </si>
  <si>
    <t>Cefimed (cefixime) 200mg film-coated tablets</t>
  </si>
  <si>
    <t>HUINING 7 inch interchangeable ceramic filter cartridges with activated carbon,</t>
  </si>
  <si>
    <t>IMP/091</t>
  </si>
  <si>
    <t>26NBOIM710264274</t>
  </si>
  <si>
    <t>BIC Cristal Original Ballpoint Pen Set in Blue, Line Width 0.4 mm</t>
  </si>
  <si>
    <t>PERFECTION BRUSHES - nylon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</si>
</sst>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b/>
      <i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Calibri"/>
    </font>
    <font>
      <b/>
      <sz val="11"/>
      <color theme="1"/>
      <name val="Calibri"/>
    </font>
    <font>
      <b/>
      <sz val="1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3" fontId="4" fillId="4" borderId="1" xfId="1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4" fontId="8" fillId="4" borderId="1" xfId="0" applyNumberFormat="1" applyFont="1" applyFill="1" applyBorder="1" applyAlignment="1">
      <alignment horizontal="center" vertical="center" wrapText="1"/>
    </xf>
    <xf numFmtId="43" fontId="8" fillId="4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8" fillId="0" borderId="1" xfId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3" fontId="8" fillId="4" borderId="1" xfId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43" fontId="7" fillId="5" borderId="1" xfId="1" applyFont="1" applyFill="1" applyBorder="1" applyAlignment="1">
      <alignment horizontal="center" vertical="center" wrapText="1"/>
    </xf>
    <xf numFmtId="164" fontId="7" fillId="5" borderId="1" xfId="1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43" fontId="7" fillId="6" borderId="1" xfId="1" applyFont="1" applyFill="1" applyBorder="1" applyAlignment="1">
      <alignment horizontal="center" vertical="center" wrapText="1"/>
    </xf>
    <xf numFmtId="164" fontId="10" fillId="4" borderId="1" xfId="1" applyNumberFormat="1" applyFont="1" applyFill="1" applyBorder="1" applyAlignment="1">
      <alignment horizontal="center" vertical="center"/>
    </xf>
    <xf numFmtId="164" fontId="7" fillId="6" borderId="1" xfId="1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3" fontId="12" fillId="0" borderId="1" xfId="1" applyFont="1" applyBorder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43" fontId="4" fillId="0" borderId="1" xfId="1" quotePrefix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43" fontId="5" fillId="3" borderId="1" xfId="1" applyFont="1" applyFill="1" applyBorder="1" applyAlignment="1">
      <alignment horizontal="center" vertical="center" wrapText="1"/>
    </xf>
    <xf numFmtId="43" fontId="5" fillId="3" borderId="1" xfId="1" applyFont="1" applyFill="1" applyBorder="1" applyAlignment="1">
      <alignment vertical="center"/>
    </xf>
    <xf numFmtId="43" fontId="5" fillId="0" borderId="1" xfId="1" applyFont="1" applyBorder="1" applyAlignment="1">
      <alignment horizontal="center" vertical="center" wrapText="1"/>
    </xf>
    <xf numFmtId="43" fontId="5" fillId="0" borderId="0" xfId="1" applyFont="1" applyAlignment="1">
      <alignment horizontal="center" vertical="center" wrapText="1"/>
    </xf>
    <xf numFmtId="14" fontId="4" fillId="0" borderId="1" xfId="0" applyNumberFormat="1" applyFont="1" applyBorder="1" applyAlignment="1">
      <alignment vertical="center"/>
    </xf>
    <xf numFmtId="43" fontId="6" fillId="3" borderId="1" xfId="1" applyFont="1" applyFill="1" applyBorder="1" applyAlignment="1">
      <alignment horizontal="center" vertical="center" wrapText="1"/>
    </xf>
    <xf numFmtId="43" fontId="5" fillId="3" borderId="1" xfId="1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 wrapText="1"/>
    </xf>
    <xf numFmtId="43" fontId="5" fillId="0" borderId="0" xfId="1" applyFont="1" applyAlignment="1">
      <alignment vertical="center"/>
    </xf>
    <xf numFmtId="43" fontId="5" fillId="0" borderId="1" xfId="1" applyFont="1" applyBorder="1" applyAlignment="1">
      <alignment vertical="center"/>
    </xf>
    <xf numFmtId="43" fontId="5" fillId="0" borderId="1" xfId="1" applyFont="1" applyBorder="1" applyAlignment="1">
      <alignment horizontal="center" vertical="center"/>
    </xf>
    <xf numFmtId="43" fontId="6" fillId="0" borderId="1" xfId="1" applyFont="1" applyBorder="1" applyAlignment="1">
      <alignment horizontal="left" vertical="center" wrapText="1"/>
    </xf>
    <xf numFmtId="43" fontId="10" fillId="3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43" fontId="4" fillId="2" borderId="1" xfId="1" applyFont="1" applyFill="1" applyBorder="1" applyAlignment="1">
      <alignment vertical="center"/>
    </xf>
    <xf numFmtId="164" fontId="4" fillId="2" borderId="1" xfId="1" applyNumberFormat="1" applyFont="1" applyFill="1" applyBorder="1" applyAlignment="1">
      <alignment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3" fontId="6" fillId="0" borderId="1" xfId="1" applyFont="1" applyBorder="1" applyAlignment="1">
      <alignment vertical="center"/>
    </xf>
    <xf numFmtId="43" fontId="8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14" fontId="8" fillId="2" borderId="1" xfId="0" applyNumberFormat="1" applyFont="1" applyFill="1" applyBorder="1" applyAlignment="1">
      <alignment horizontal="center" vertical="center"/>
    </xf>
    <xf numFmtId="43" fontId="8" fillId="2" borderId="1" xfId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3" fontId="9" fillId="2" borderId="1" xfId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43" fontId="6" fillId="3" borderId="1" xfId="1" applyFont="1" applyFill="1" applyBorder="1" applyAlignment="1">
      <alignment vertical="center"/>
    </xf>
    <xf numFmtId="43" fontId="14" fillId="3" borderId="1" xfId="1" applyFont="1" applyFill="1" applyBorder="1" applyAlignment="1">
      <alignment vertical="center"/>
    </xf>
    <xf numFmtId="43" fontId="4" fillId="0" borderId="1" xfId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43" fontId="15" fillId="4" borderId="1" xfId="1" applyFont="1" applyFill="1" applyBorder="1" applyAlignment="1">
      <alignment horizontal="center" vertical="center"/>
    </xf>
    <xf numFmtId="43" fontId="15" fillId="2" borderId="1" xfId="1" applyFont="1" applyFill="1" applyBorder="1" applyAlignment="1">
      <alignment horizontal="center" vertical="center"/>
    </xf>
    <xf numFmtId="43" fontId="6" fillId="0" borderId="1" xfId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4" fontId="5" fillId="3" borderId="1" xfId="1" applyNumberFormat="1" applyFont="1" applyFill="1" applyBorder="1" applyAlignment="1">
      <alignment vertical="center" wrapText="1"/>
    </xf>
    <xf numFmtId="164" fontId="6" fillId="3" borderId="1" xfId="1" applyNumberFormat="1" applyFont="1" applyFill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43" fontId="4" fillId="0" borderId="1" xfId="1" applyFont="1" applyBorder="1" applyAlignment="1">
      <alignment vertical="center"/>
    </xf>
    <xf numFmtId="164" fontId="4" fillId="0" borderId="1" xfId="1" applyNumberFormat="1" applyFont="1" applyBorder="1" applyAlignment="1">
      <alignment vertical="center"/>
    </xf>
    <xf numFmtId="164" fontId="5" fillId="0" borderId="1" xfId="1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43" fontId="2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left" vertical="center" wrapText="1"/>
    </xf>
    <xf numFmtId="164" fontId="6" fillId="0" borderId="1" xfId="1" applyNumberFormat="1" applyFont="1" applyBorder="1" applyAlignment="1">
      <alignment horizontal="left" vertical="center" wrapText="1"/>
    </xf>
    <xf numFmtId="164" fontId="8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164" fontId="5" fillId="4" borderId="1" xfId="1" applyNumberFormat="1" applyFont="1" applyFill="1" applyBorder="1" applyAlignment="1">
      <alignment horizontal="center" vertical="center" wrapText="1"/>
    </xf>
    <xf numFmtId="43" fontId="5" fillId="4" borderId="1" xfId="1" applyFont="1" applyFill="1" applyBorder="1" applyAlignment="1">
      <alignment horizontal="center" vertical="center" wrapText="1"/>
    </xf>
    <xf numFmtId="43" fontId="6" fillId="4" borderId="1" xfId="1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43" fontId="4" fillId="0" borderId="1" xfId="0" applyNumberFormat="1" applyFont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14" fontId="4" fillId="8" borderId="1" xfId="0" applyNumberFormat="1" applyFont="1" applyFill="1" applyBorder="1" applyAlignment="1">
      <alignment horizontal="center" vertical="center"/>
    </xf>
    <xf numFmtId="43" fontId="4" fillId="8" borderId="1" xfId="1" applyFont="1" applyFill="1" applyBorder="1" applyAlignment="1">
      <alignment horizontal="center" vertical="center"/>
    </xf>
    <xf numFmtId="164" fontId="2" fillId="8" borderId="1" xfId="1" applyNumberFormat="1" applyFont="1" applyFill="1" applyBorder="1" applyAlignment="1">
      <alignment horizontal="center" vertical="center"/>
    </xf>
    <xf numFmtId="43" fontId="2" fillId="8" borderId="1" xfId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64" fontId="4" fillId="8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164" fontId="12" fillId="4" borderId="1" xfId="1" applyNumberFormat="1" applyFont="1" applyFill="1" applyBorder="1" applyAlignment="1">
      <alignment horizontal="center" vertical="center"/>
    </xf>
    <xf numFmtId="164" fontId="8" fillId="4" borderId="1" xfId="1" applyNumberFormat="1" applyFont="1" applyFill="1" applyBorder="1" applyAlignment="1">
      <alignment horizontal="center" vertical="center"/>
    </xf>
    <xf numFmtId="0" fontId="16" fillId="0" borderId="1" xfId="0" applyFont="1" applyBorder="1"/>
    <xf numFmtId="164" fontId="14" fillId="3" borderId="1" xfId="1" applyNumberFormat="1" applyFont="1" applyFill="1" applyBorder="1" applyAlignment="1">
      <alignment horizontal="center" vertical="center" wrapText="1"/>
    </xf>
    <xf numFmtId="43" fontId="14" fillId="3" borderId="1" xfId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43" fontId="6" fillId="4" borderId="1" xfId="1" applyFont="1" applyFill="1" applyBorder="1" applyAlignment="1">
      <alignment horizontal="center" vertical="center" wrapText="1"/>
    </xf>
    <xf numFmtId="0" fontId="17" fillId="0" borderId="1" xfId="0" applyFont="1" applyBorder="1"/>
    <xf numFmtId="0" fontId="17" fillId="2" borderId="1" xfId="0" applyFont="1" applyFill="1" applyBorder="1"/>
    <xf numFmtId="14" fontId="2" fillId="2" borderId="1" xfId="0" applyNumberFormat="1" applyFont="1" applyFill="1" applyBorder="1" applyAlignment="1">
      <alignment horizontal="center" vertical="center"/>
    </xf>
    <xf numFmtId="43" fontId="5" fillId="4" borderId="1" xfId="1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43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0" fillId="4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43" fontId="0" fillId="0" borderId="1" xfId="0" applyNumberFormat="1" applyBorder="1" applyAlignment="1">
      <alignment vertical="center"/>
    </xf>
    <xf numFmtId="43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 wrapText="1"/>
    </xf>
    <xf numFmtId="43" fontId="5" fillId="0" borderId="2" xfId="1" applyFont="1" applyBorder="1" applyAlignment="1">
      <alignment horizontal="center" vertical="center" wrapText="1"/>
    </xf>
    <xf numFmtId="43" fontId="5" fillId="0" borderId="2" xfId="1" applyFont="1" applyBorder="1" applyAlignment="1">
      <alignment vertical="center"/>
    </xf>
    <xf numFmtId="0" fontId="0" fillId="0" borderId="2" xfId="0" applyBorder="1"/>
    <xf numFmtId="0" fontId="2" fillId="0" borderId="3" xfId="0" applyFont="1" applyBorder="1" applyAlignment="1">
      <alignment horizontal="left" vertical="center" wrapText="1"/>
    </xf>
    <xf numFmtId="0" fontId="0" fillId="0" borderId="3" xfId="0" applyBorder="1"/>
    <xf numFmtId="0" fontId="4" fillId="0" borderId="3" xfId="0" applyFont="1" applyBorder="1" applyAlignment="1">
      <alignment horizontal="center" vertical="center"/>
    </xf>
    <xf numFmtId="43" fontId="4" fillId="0" borderId="3" xfId="1" applyFont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3" fontId="4" fillId="0" borderId="6" xfId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 wrapText="1"/>
    </xf>
    <xf numFmtId="43" fontId="5" fillId="0" borderId="1" xfId="1" applyFont="1" applyFill="1" applyBorder="1" applyAlignment="1">
      <alignment horizontal="center" vertical="center" wrapText="1"/>
    </xf>
    <xf numFmtId="43" fontId="6" fillId="0" borderId="1" xfId="1" applyFont="1" applyFill="1" applyBorder="1" applyAlignment="1">
      <alignment vertical="center"/>
    </xf>
    <xf numFmtId="0" fontId="0" fillId="2" borderId="1" xfId="0" applyFill="1" applyBorder="1"/>
    <xf numFmtId="0" fontId="12" fillId="0" borderId="1" xfId="0" applyFont="1" applyBorder="1" applyAlignment="1">
      <alignment horizontal="left" vertical="center" wrapText="1"/>
    </xf>
    <xf numFmtId="0" fontId="18" fillId="0" borderId="1" xfId="0" applyFont="1" applyBorder="1"/>
    <xf numFmtId="164" fontId="10" fillId="3" borderId="1" xfId="1" applyNumberFormat="1" applyFont="1" applyFill="1" applyBorder="1" applyAlignment="1">
      <alignment horizontal="center" vertical="center" wrapText="1"/>
    </xf>
    <xf numFmtId="43" fontId="10" fillId="3" borderId="1" xfId="1" applyFont="1" applyFill="1" applyBorder="1" applyAlignment="1">
      <alignment horizontal="center" vertical="center" wrapText="1"/>
    </xf>
    <xf numFmtId="0" fontId="0" fillId="0" borderId="6" xfId="0" applyBorder="1"/>
    <xf numFmtId="14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43" fontId="0" fillId="0" borderId="6" xfId="0" applyNumberFormat="1" applyBorder="1" applyAlignment="1">
      <alignment horizontal="right"/>
    </xf>
    <xf numFmtId="164" fontId="4" fillId="0" borderId="6" xfId="1" applyNumberFormat="1" applyFont="1" applyBorder="1" applyAlignment="1">
      <alignment horizontal="center" vertical="center"/>
    </xf>
    <xf numFmtId="164" fontId="6" fillId="3" borderId="3" xfId="1" applyNumberFormat="1" applyFont="1" applyFill="1" applyBorder="1" applyAlignment="1">
      <alignment horizontal="center" vertical="center" wrapText="1"/>
    </xf>
    <xf numFmtId="43" fontId="6" fillId="3" borderId="3" xfId="1" applyFont="1" applyFill="1" applyBorder="1" applyAlignment="1">
      <alignment horizontal="center" vertical="center" wrapText="1"/>
    </xf>
    <xf numFmtId="43" fontId="6" fillId="3" borderId="3" xfId="1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43" fontId="4" fillId="0" borderId="9" xfId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1" applyFont="1" applyBorder="1" applyAlignment="1">
      <alignment horizontal="center" vertical="center"/>
    </xf>
    <xf numFmtId="164" fontId="4" fillId="0" borderId="10" xfId="1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4" fontId="4" fillId="0" borderId="2" xfId="0" applyNumberFormat="1" applyFont="1" applyBorder="1" applyAlignment="1">
      <alignment horizontal="center" vertical="center"/>
    </xf>
    <xf numFmtId="43" fontId="4" fillId="0" borderId="6" xfId="1" applyFont="1" applyBorder="1" applyAlignment="1">
      <alignment horizontal="right" vertical="center"/>
    </xf>
    <xf numFmtId="43" fontId="4" fillId="0" borderId="2" xfId="1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0" fillId="0" borderId="5" xfId="0" applyBorder="1"/>
    <xf numFmtId="0" fontId="2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3" fontId="0" fillId="0" borderId="0" xfId="0" applyNumberFormat="1" applyAlignment="1">
      <alignment horizontal="center"/>
    </xf>
    <xf numFmtId="43" fontId="0" fillId="0" borderId="2" xfId="0" applyNumberFormat="1" applyBorder="1" applyAlignment="1">
      <alignment horizontal="right"/>
    </xf>
    <xf numFmtId="43" fontId="0" fillId="0" borderId="0" xfId="0" applyNumberFormat="1" applyAlignment="1">
      <alignment horizontal="right"/>
    </xf>
    <xf numFmtId="43" fontId="4" fillId="0" borderId="8" xfId="1" applyFont="1" applyBorder="1" applyAlignment="1">
      <alignment horizontal="center" vertical="center"/>
    </xf>
    <xf numFmtId="43" fontId="0" fillId="0" borderId="5" xfId="0" applyNumberFormat="1" applyBorder="1" applyAlignment="1">
      <alignment horizontal="right"/>
    </xf>
    <xf numFmtId="14" fontId="4" fillId="0" borderId="6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43" fontId="15" fillId="0" borderId="2" xfId="1" applyFont="1" applyBorder="1" applyAlignment="1">
      <alignment horizontal="center" vertical="center"/>
    </xf>
    <xf numFmtId="164" fontId="15" fillId="0" borderId="2" xfId="1" applyNumberFormat="1" applyFont="1" applyBorder="1" applyAlignment="1">
      <alignment horizontal="center" vertical="center"/>
    </xf>
    <xf numFmtId="164" fontId="20" fillId="0" borderId="2" xfId="1" applyNumberFormat="1" applyFont="1" applyBorder="1" applyAlignment="1">
      <alignment horizontal="center" vertical="center" wrapText="1"/>
    </xf>
    <xf numFmtId="43" fontId="20" fillId="0" borderId="2" xfId="1" applyFont="1" applyBorder="1" applyAlignment="1">
      <alignment horizontal="center" vertical="center" wrapText="1"/>
    </xf>
    <xf numFmtId="43" fontId="20" fillId="0" borderId="2" xfId="1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2" xfId="0" applyFont="1" applyBorder="1"/>
    <xf numFmtId="14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43" fontId="15" fillId="0" borderId="2" xfId="1" applyFont="1" applyBorder="1" applyAlignment="1">
      <alignment horizontal="right" vertical="center"/>
    </xf>
    <xf numFmtId="164" fontId="21" fillId="3" borderId="3" xfId="1" applyNumberFormat="1" applyFont="1" applyFill="1" applyBorder="1" applyAlignment="1">
      <alignment horizontal="center" vertical="center" wrapText="1"/>
    </xf>
    <xf numFmtId="43" fontId="21" fillId="3" borderId="3" xfId="1" applyFont="1" applyFill="1" applyBorder="1" applyAlignment="1">
      <alignment horizontal="center" vertical="center" wrapText="1"/>
    </xf>
    <xf numFmtId="43" fontId="21" fillId="3" borderId="3" xfId="1" applyFont="1" applyFill="1" applyBorder="1" applyAlignment="1">
      <alignment vertical="center"/>
    </xf>
    <xf numFmtId="14" fontId="15" fillId="0" borderId="2" xfId="0" applyNumberFormat="1" applyFont="1" applyBorder="1" applyAlignment="1">
      <alignment horizontal="center"/>
    </xf>
    <xf numFmtId="43" fontId="15" fillId="0" borderId="2" xfId="0" applyNumberFormat="1" applyFont="1" applyBorder="1" applyAlignment="1">
      <alignment horizontal="right"/>
    </xf>
    <xf numFmtId="43" fontId="22" fillId="0" borderId="2" xfId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64" fontId="22" fillId="0" borderId="2" xfId="1" applyNumberFormat="1" applyFont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4" fontId="8" fillId="2" borderId="1" xfId="0" applyNumberFormat="1" applyFont="1" applyFill="1" applyBorder="1" applyAlignment="1">
      <alignment horizontal="center" vertical="center"/>
    </xf>
    <xf numFmtId="43" fontId="8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DF974"/>
      <color rgb="FF1DF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nnie Silvon Anyango" id="{E758A2A9-0BC1-474F-9AE0-1F7661F085AE}" userId="S::winnie.silvon@amex-healthcare.com::301c0d57-5189-4305-927e-d367dcb24e0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71" dT="2026-08-21T13:48:10.57" personId="{E758A2A9-0BC1-474F-9AE0-1F7661F085AE}" id="{EA800C07-A33B-430D-A71D-4CC731527228}">
    <text>Huge gap on the Units</text>
  </threadedComment>
  <threadedComment ref="C419" dT="2026-08-25T06:36:46.58" personId="{E758A2A9-0BC1-474F-9AE0-1F7661F085AE}" id="{7828D1D9-4022-4D85-9673-EF40414DF303}">
    <text>Supplementary Units - In Red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B38E-8911-49B7-942C-79E66ABC622D}">
  <dimension ref="B2:AA19"/>
  <sheetViews>
    <sheetView workbookViewId="0">
      <selection activeCell="H8" sqref="H8"/>
    </sheetView>
  </sheetViews>
  <sheetFormatPr defaultRowHeight="14.4" x14ac:dyDescent="0.3"/>
  <sheetData>
    <row r="2" spans="2:27" x14ac:dyDescent="0.3">
      <c r="B2" t="s">
        <v>0</v>
      </c>
      <c r="C2" t="s">
        <v>1</v>
      </c>
      <c r="D2" t="s">
        <v>2</v>
      </c>
      <c r="E2">
        <v>46206</v>
      </c>
      <c r="F2" t="s">
        <v>3</v>
      </c>
      <c r="G2">
        <v>90183100</v>
      </c>
      <c r="H2" t="s">
        <v>4</v>
      </c>
      <c r="I2">
        <v>36</v>
      </c>
      <c r="J2" t="s">
        <v>5</v>
      </c>
      <c r="K2">
        <v>36</v>
      </c>
      <c r="L2">
        <v>27969.84</v>
      </c>
      <c r="M2">
        <v>0</v>
      </c>
      <c r="X2">
        <v>36</v>
      </c>
      <c r="Y2">
        <v>27969.84</v>
      </c>
      <c r="Z2">
        <v>0</v>
      </c>
      <c r="AA2">
        <v>36</v>
      </c>
    </row>
    <row r="3" spans="2:27" x14ac:dyDescent="0.3">
      <c r="C3" t="s">
        <v>6</v>
      </c>
      <c r="G3">
        <v>90183100</v>
      </c>
      <c r="H3" t="s">
        <v>4</v>
      </c>
      <c r="I3">
        <v>60</v>
      </c>
      <c r="J3" t="s">
        <v>5</v>
      </c>
      <c r="K3">
        <v>60</v>
      </c>
      <c r="L3">
        <v>62155.199999999997</v>
      </c>
      <c r="M3">
        <v>0</v>
      </c>
      <c r="X3">
        <v>60</v>
      </c>
      <c r="Y3">
        <v>62155.199999999997</v>
      </c>
      <c r="Z3">
        <v>0</v>
      </c>
      <c r="AA3">
        <v>60</v>
      </c>
    </row>
    <row r="4" spans="2:27" x14ac:dyDescent="0.3">
      <c r="C4" t="s">
        <v>7</v>
      </c>
      <c r="G4">
        <v>90183100</v>
      </c>
      <c r="H4" t="s">
        <v>4</v>
      </c>
      <c r="I4">
        <v>41</v>
      </c>
      <c r="J4" t="s">
        <v>5</v>
      </c>
      <c r="K4">
        <v>41</v>
      </c>
      <c r="L4">
        <v>26545.45</v>
      </c>
      <c r="M4">
        <v>0</v>
      </c>
      <c r="X4">
        <v>41</v>
      </c>
      <c r="Y4">
        <v>26545.45</v>
      </c>
      <c r="Z4">
        <v>0</v>
      </c>
      <c r="AA4">
        <v>41</v>
      </c>
    </row>
    <row r="6" spans="2:27" x14ac:dyDescent="0.3">
      <c r="B6" t="s">
        <v>8</v>
      </c>
      <c r="C6" t="s">
        <v>9</v>
      </c>
      <c r="D6" t="s">
        <v>10</v>
      </c>
      <c r="E6">
        <v>46213</v>
      </c>
      <c r="F6" t="s">
        <v>11</v>
      </c>
      <c r="G6">
        <v>21069000</v>
      </c>
      <c r="H6" t="s">
        <v>12</v>
      </c>
      <c r="I6">
        <v>22218</v>
      </c>
      <c r="J6" t="s">
        <v>13</v>
      </c>
      <c r="K6">
        <v>22218</v>
      </c>
      <c r="L6">
        <v>8154004.6200000001</v>
      </c>
      <c r="M6">
        <v>2207008</v>
      </c>
    </row>
    <row r="8" spans="2:27" x14ac:dyDescent="0.3">
      <c r="B8" t="s">
        <v>8</v>
      </c>
      <c r="C8" t="s">
        <v>14</v>
      </c>
      <c r="D8" t="s">
        <v>15</v>
      </c>
      <c r="E8">
        <v>46214</v>
      </c>
      <c r="F8" t="s">
        <v>16</v>
      </c>
      <c r="G8">
        <v>21069000</v>
      </c>
      <c r="H8" t="s">
        <v>12</v>
      </c>
      <c r="I8">
        <v>7948.8</v>
      </c>
      <c r="J8" t="s">
        <v>13</v>
      </c>
      <c r="K8">
        <v>7948.8</v>
      </c>
      <c r="L8">
        <v>6062777.5199999996</v>
      </c>
      <c r="M8">
        <v>1641948</v>
      </c>
    </row>
    <row r="9" spans="2:27" x14ac:dyDescent="0.3">
      <c r="C9" t="s">
        <v>17</v>
      </c>
      <c r="G9">
        <v>21069000</v>
      </c>
      <c r="H9" t="s">
        <v>12</v>
      </c>
      <c r="I9">
        <v>6748.8</v>
      </c>
      <c r="J9" t="s">
        <v>13</v>
      </c>
      <c r="K9">
        <v>6748.8</v>
      </c>
      <c r="L9">
        <v>626639.51</v>
      </c>
      <c r="M9">
        <v>1691912</v>
      </c>
    </row>
    <row r="10" spans="2:27" x14ac:dyDescent="0.3">
      <c r="C10" t="s">
        <v>18</v>
      </c>
      <c r="G10">
        <v>21069000</v>
      </c>
      <c r="H10" t="s">
        <v>12</v>
      </c>
      <c r="I10">
        <v>1050</v>
      </c>
      <c r="J10" t="s">
        <v>13</v>
      </c>
      <c r="K10">
        <v>1050</v>
      </c>
      <c r="L10">
        <v>338407.97</v>
      </c>
      <c r="M10">
        <v>91371</v>
      </c>
    </row>
    <row r="12" spans="2:27" x14ac:dyDescent="0.3">
      <c r="B12" t="s">
        <v>8</v>
      </c>
      <c r="C12" t="s">
        <v>19</v>
      </c>
      <c r="D12" t="s">
        <v>20</v>
      </c>
      <c r="E12">
        <v>46226</v>
      </c>
      <c r="F12" t="s">
        <v>21</v>
      </c>
      <c r="G12">
        <v>21069000</v>
      </c>
      <c r="H12" t="s">
        <v>12</v>
      </c>
      <c r="I12">
        <v>20741.400000000001</v>
      </c>
      <c r="J12" t="s">
        <v>13</v>
      </c>
      <c r="K12">
        <v>20741.400000000001</v>
      </c>
      <c r="L12" t="s">
        <v>22</v>
      </c>
      <c r="M12">
        <v>1825687</v>
      </c>
    </row>
    <row r="13" spans="2:27" x14ac:dyDescent="0.3">
      <c r="C13" t="s">
        <v>23</v>
      </c>
      <c r="G13">
        <v>21069000</v>
      </c>
      <c r="H13" t="s">
        <v>12</v>
      </c>
      <c r="I13">
        <v>1500</v>
      </c>
      <c r="J13" t="s">
        <v>13</v>
      </c>
      <c r="K13">
        <v>1500</v>
      </c>
      <c r="L13">
        <v>424978.27</v>
      </c>
      <c r="M13">
        <v>114745</v>
      </c>
    </row>
    <row r="15" spans="2:27" x14ac:dyDescent="0.3">
      <c r="B15" t="s">
        <v>24</v>
      </c>
      <c r="C15" t="s">
        <v>25</v>
      </c>
      <c r="D15" t="s">
        <v>26</v>
      </c>
      <c r="E15">
        <v>46237</v>
      </c>
      <c r="F15" t="s">
        <v>27</v>
      </c>
      <c r="G15">
        <v>38221100</v>
      </c>
      <c r="H15" t="s">
        <v>12</v>
      </c>
      <c r="I15">
        <v>1638</v>
      </c>
      <c r="J15" t="s">
        <v>13</v>
      </c>
      <c r="K15">
        <v>1638</v>
      </c>
      <c r="L15" t="s">
        <v>28</v>
      </c>
      <c r="M15" t="s">
        <v>29</v>
      </c>
    </row>
    <row r="17" spans="2:13" x14ac:dyDescent="0.3">
      <c r="B17" t="s">
        <v>30</v>
      </c>
      <c r="C17" t="s">
        <v>31</v>
      </c>
      <c r="D17" t="s">
        <v>32</v>
      </c>
      <c r="E17">
        <v>46238</v>
      </c>
      <c r="F17" t="s">
        <v>33</v>
      </c>
      <c r="G17">
        <v>30049000</v>
      </c>
      <c r="H17" t="s">
        <v>34</v>
      </c>
      <c r="I17">
        <v>1166</v>
      </c>
      <c r="J17" t="s">
        <v>13</v>
      </c>
      <c r="K17">
        <v>1166</v>
      </c>
      <c r="L17" t="s">
        <v>35</v>
      </c>
      <c r="M17">
        <v>40769</v>
      </c>
    </row>
    <row r="19" spans="2:13" x14ac:dyDescent="0.3">
      <c r="B19" t="s">
        <v>36</v>
      </c>
      <c r="C19" t="s">
        <v>37</v>
      </c>
      <c r="D19" t="s">
        <v>38</v>
      </c>
      <c r="E19">
        <v>46239</v>
      </c>
      <c r="F19" t="s">
        <v>39</v>
      </c>
      <c r="G19">
        <v>30049000</v>
      </c>
      <c r="H19" t="s">
        <v>40</v>
      </c>
      <c r="I19">
        <v>1496</v>
      </c>
      <c r="J19" t="s">
        <v>13</v>
      </c>
      <c r="K19">
        <v>1496</v>
      </c>
      <c r="L19" t="s">
        <v>41</v>
      </c>
      <c r="M19">
        <v>44349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34D9-7DCF-4016-86A3-9D6BDB898282}">
  <dimension ref="A1:Z588"/>
  <sheetViews>
    <sheetView tabSelected="1" zoomScale="90" zoomScaleNormal="90" workbookViewId="0">
      <pane ySplit="1" topLeftCell="A552" activePane="bottomLeft" state="frozen"/>
      <selection pane="bottomLeft" activeCell="E560" sqref="E560"/>
    </sheetView>
  </sheetViews>
  <sheetFormatPr defaultColWidth="51" defaultRowHeight="14.4" x14ac:dyDescent="0.3"/>
  <cols>
    <col min="1" max="1" width="37.109375" style="2" customWidth="1"/>
    <col min="2" max="2" width="142.44140625" style="3" customWidth="1"/>
    <col min="3" max="3" width="13.44140625" style="4" customWidth="1"/>
    <col min="4" max="4" width="17.44140625" style="4" bestFit="1" customWidth="1"/>
    <col min="5" max="5" width="23.109375" style="4" customWidth="1"/>
    <col min="6" max="6" width="13.109375" style="4" customWidth="1"/>
    <col min="7" max="7" width="10.6640625" style="4" customWidth="1"/>
    <col min="8" max="8" width="15.44140625" style="5" customWidth="1"/>
    <col min="9" max="9" width="11.109375" style="4" customWidth="1"/>
    <col min="10" max="10" width="16.44140625" style="6" customWidth="1"/>
    <col min="11" max="11" width="15.5546875" style="5" bestFit="1" customWidth="1"/>
    <col min="12" max="12" width="15.5546875" style="5" customWidth="1"/>
    <col min="13" max="13" width="55" style="4" bestFit="1" customWidth="1"/>
    <col min="14" max="14" width="10.5546875" style="4" bestFit="1" customWidth="1"/>
    <col min="15" max="15" width="17" style="4" bestFit="1" customWidth="1"/>
    <col min="16" max="16" width="28.88671875" style="4" customWidth="1"/>
    <col min="17" max="17" width="26" style="4" hidden="1" customWidth="1"/>
    <col min="18" max="18" width="15.109375" style="5" customWidth="1"/>
    <col min="19" max="19" width="10.5546875" style="4" customWidth="1"/>
    <col min="20" max="20" width="13.5546875" style="6" customWidth="1"/>
    <col min="21" max="21" width="16.44140625" style="5" customWidth="1"/>
    <col min="22" max="22" width="15.6640625" style="5" customWidth="1"/>
    <col min="23" max="23" width="16.6640625" style="7" customWidth="1"/>
    <col min="24" max="25" width="16.6640625" style="69" customWidth="1"/>
    <col min="26" max="26" width="16.109375" style="80" customWidth="1"/>
    <col min="27" max="27" width="12.5546875" style="8" customWidth="1"/>
    <col min="28" max="28" width="11" style="8" customWidth="1"/>
    <col min="29" max="29" width="11.5546875" style="8" customWidth="1"/>
    <col min="30" max="30" width="9" style="8" customWidth="1"/>
    <col min="31" max="16384" width="51" style="8"/>
  </cols>
  <sheetData>
    <row r="1" spans="1:26" s="9" customFormat="1" ht="57.6" x14ac:dyDescent="0.3">
      <c r="A1" s="54" t="s">
        <v>42</v>
      </c>
      <c r="B1" s="53" t="s">
        <v>43</v>
      </c>
      <c r="C1" s="47" t="s">
        <v>44</v>
      </c>
      <c r="D1" s="47" t="s">
        <v>45</v>
      </c>
      <c r="E1" s="48" t="s">
        <v>46</v>
      </c>
      <c r="F1" s="48" t="s">
        <v>47</v>
      </c>
      <c r="G1" s="48" t="s">
        <v>48</v>
      </c>
      <c r="H1" s="49" t="s">
        <v>49</v>
      </c>
      <c r="I1" s="47" t="s">
        <v>50</v>
      </c>
      <c r="J1" s="50" t="s">
        <v>51</v>
      </c>
      <c r="K1" s="49" t="s">
        <v>52</v>
      </c>
      <c r="L1" s="49" t="s">
        <v>53</v>
      </c>
      <c r="M1" s="51" t="s">
        <v>54</v>
      </c>
      <c r="N1" s="51" t="s">
        <v>55</v>
      </c>
      <c r="O1" s="52" t="s">
        <v>56</v>
      </c>
      <c r="P1" s="52" t="s">
        <v>57</v>
      </c>
      <c r="Q1" s="51" t="s">
        <v>58</v>
      </c>
      <c r="R1" s="56" t="s">
        <v>49</v>
      </c>
      <c r="S1" s="51" t="s">
        <v>50</v>
      </c>
      <c r="T1" s="58" t="s">
        <v>59</v>
      </c>
      <c r="U1" s="56" t="s">
        <v>60</v>
      </c>
      <c r="V1" s="56" t="s">
        <v>53</v>
      </c>
      <c r="W1" s="79" t="s">
        <v>61</v>
      </c>
      <c r="X1" s="66" t="s">
        <v>62</v>
      </c>
      <c r="Y1" s="66" t="s">
        <v>53</v>
      </c>
      <c r="Z1" s="66" t="s">
        <v>63</v>
      </c>
    </row>
    <row r="2" spans="1:26" x14ac:dyDescent="0.3">
      <c r="A2" s="85" t="s">
        <v>64</v>
      </c>
      <c r="B2" s="86" t="s">
        <v>65</v>
      </c>
      <c r="C2" s="87" t="s">
        <v>66</v>
      </c>
      <c r="D2" s="88">
        <v>45688</v>
      </c>
      <c r="E2" s="89" t="s">
        <v>67</v>
      </c>
      <c r="F2" s="89">
        <v>29336900</v>
      </c>
      <c r="G2" s="89" t="s">
        <v>4</v>
      </c>
      <c r="H2" s="90">
        <v>300</v>
      </c>
      <c r="I2" s="89" t="s">
        <v>13</v>
      </c>
      <c r="J2" s="91">
        <v>8800</v>
      </c>
      <c r="K2" s="90">
        <v>26400</v>
      </c>
      <c r="L2" s="90">
        <v>0</v>
      </c>
      <c r="M2" s="89" t="s">
        <v>68</v>
      </c>
      <c r="N2" s="89" t="s">
        <v>69</v>
      </c>
      <c r="O2" s="92">
        <v>45715</v>
      </c>
      <c r="P2" s="89" t="s">
        <v>70</v>
      </c>
      <c r="Q2" s="89"/>
      <c r="R2" s="90">
        <v>300</v>
      </c>
      <c r="S2" s="89" t="s">
        <v>13</v>
      </c>
      <c r="T2" s="91">
        <v>8800</v>
      </c>
      <c r="U2" s="90">
        <f t="shared" ref="U2:U12" si="0">K2</f>
        <v>26400</v>
      </c>
      <c r="V2" s="90">
        <v>0</v>
      </c>
      <c r="W2" s="79">
        <f t="shared" ref="W2:W12" si="1">J2-T2</f>
        <v>0</v>
      </c>
      <c r="X2" s="66">
        <f>L2-V2</f>
        <v>0</v>
      </c>
      <c r="Y2" s="66">
        <f t="shared" ref="Y2:Y12" si="2">L2-V2</f>
        <v>0</v>
      </c>
      <c r="Z2" s="67">
        <f t="shared" ref="Z2:Z12" si="3">H2-R2</f>
        <v>0</v>
      </c>
    </row>
    <row r="3" spans="1:26" x14ac:dyDescent="0.3">
      <c r="A3" s="85"/>
      <c r="B3" s="93" t="s">
        <v>71</v>
      </c>
      <c r="C3" s="87"/>
      <c r="D3" s="88"/>
      <c r="E3" s="89"/>
      <c r="F3" s="89">
        <v>39241000</v>
      </c>
      <c r="G3" s="89" t="s">
        <v>4</v>
      </c>
      <c r="H3" s="90">
        <v>50</v>
      </c>
      <c r="I3" s="89" t="s">
        <v>13</v>
      </c>
      <c r="J3" s="91">
        <v>880</v>
      </c>
      <c r="K3" s="90">
        <v>30800</v>
      </c>
      <c r="L3" s="90">
        <v>0</v>
      </c>
      <c r="M3" s="89" t="s">
        <v>68</v>
      </c>
      <c r="N3" s="89" t="s">
        <v>69</v>
      </c>
      <c r="O3" s="92">
        <v>45715</v>
      </c>
      <c r="P3" s="89" t="s">
        <v>70</v>
      </c>
      <c r="Q3" s="89"/>
      <c r="R3" s="90">
        <v>50</v>
      </c>
      <c r="S3" s="89" t="s">
        <v>13</v>
      </c>
      <c r="T3" s="91">
        <v>880</v>
      </c>
      <c r="U3" s="90">
        <f t="shared" si="0"/>
        <v>30800</v>
      </c>
      <c r="V3" s="90">
        <v>0</v>
      </c>
      <c r="W3" s="79">
        <f t="shared" si="1"/>
        <v>0</v>
      </c>
      <c r="X3" s="66">
        <f t="shared" ref="X3:X12" si="4">K3-U3</f>
        <v>0</v>
      </c>
      <c r="Y3" s="66">
        <f t="shared" si="2"/>
        <v>0</v>
      </c>
      <c r="Z3" s="67">
        <f t="shared" si="3"/>
        <v>0</v>
      </c>
    </row>
    <row r="4" spans="1:26" x14ac:dyDescent="0.3">
      <c r="A4" s="85"/>
      <c r="B4" s="94" t="s">
        <v>72</v>
      </c>
      <c r="C4" s="87"/>
      <c r="D4" s="88"/>
      <c r="E4" s="89"/>
      <c r="F4" s="89">
        <v>39241000</v>
      </c>
      <c r="G4" s="89" t="s">
        <v>4</v>
      </c>
      <c r="H4" s="90">
        <v>50</v>
      </c>
      <c r="I4" s="89" t="s">
        <v>13</v>
      </c>
      <c r="J4" s="91">
        <v>880</v>
      </c>
      <c r="K4" s="90">
        <v>48400</v>
      </c>
      <c r="L4" s="90">
        <v>0</v>
      </c>
      <c r="M4" s="89" t="s">
        <v>68</v>
      </c>
      <c r="N4" s="89" t="s">
        <v>69</v>
      </c>
      <c r="O4" s="92">
        <v>45715</v>
      </c>
      <c r="P4" s="89" t="s">
        <v>70</v>
      </c>
      <c r="Q4" s="89"/>
      <c r="R4" s="90">
        <v>50</v>
      </c>
      <c r="S4" s="89" t="s">
        <v>13</v>
      </c>
      <c r="T4" s="91">
        <v>880</v>
      </c>
      <c r="U4" s="90">
        <f t="shared" si="0"/>
        <v>48400</v>
      </c>
      <c r="V4" s="90">
        <v>0</v>
      </c>
      <c r="W4" s="79">
        <f t="shared" si="1"/>
        <v>0</v>
      </c>
      <c r="X4" s="66">
        <f t="shared" si="4"/>
        <v>0</v>
      </c>
      <c r="Y4" s="66">
        <f t="shared" si="2"/>
        <v>0</v>
      </c>
      <c r="Z4" s="67">
        <f t="shared" si="3"/>
        <v>0</v>
      </c>
    </row>
    <row r="5" spans="1:26" x14ac:dyDescent="0.3">
      <c r="A5" s="85"/>
      <c r="B5" s="94" t="s">
        <v>73</v>
      </c>
      <c r="C5" s="87"/>
      <c r="D5" s="88"/>
      <c r="E5" s="89"/>
      <c r="F5" s="89">
        <v>39241000</v>
      </c>
      <c r="G5" s="89" t="s">
        <v>4</v>
      </c>
      <c r="H5" s="90">
        <v>15</v>
      </c>
      <c r="I5" s="89" t="s">
        <v>13</v>
      </c>
      <c r="J5" s="91">
        <v>154</v>
      </c>
      <c r="K5" s="90">
        <v>19250</v>
      </c>
      <c r="L5" s="90">
        <v>0</v>
      </c>
      <c r="M5" s="89" t="s">
        <v>68</v>
      </c>
      <c r="N5" s="89" t="s">
        <v>69</v>
      </c>
      <c r="O5" s="92">
        <v>45715</v>
      </c>
      <c r="P5" s="89" t="s">
        <v>70</v>
      </c>
      <c r="Q5" s="89"/>
      <c r="R5" s="90">
        <v>15</v>
      </c>
      <c r="S5" s="89" t="s">
        <v>13</v>
      </c>
      <c r="T5" s="91">
        <v>154</v>
      </c>
      <c r="U5" s="90">
        <f t="shared" si="0"/>
        <v>19250</v>
      </c>
      <c r="V5" s="90">
        <v>0</v>
      </c>
      <c r="W5" s="79">
        <f t="shared" si="1"/>
        <v>0</v>
      </c>
      <c r="X5" s="66">
        <f t="shared" si="4"/>
        <v>0</v>
      </c>
      <c r="Y5" s="66">
        <f t="shared" si="2"/>
        <v>0</v>
      </c>
      <c r="Z5" s="67">
        <f t="shared" si="3"/>
        <v>0</v>
      </c>
    </row>
    <row r="6" spans="1:26" x14ac:dyDescent="0.3">
      <c r="A6" s="85"/>
      <c r="B6" s="94" t="s">
        <v>74</v>
      </c>
      <c r="C6" s="87"/>
      <c r="D6" s="88"/>
      <c r="E6" s="89"/>
      <c r="F6" s="89">
        <v>39241000</v>
      </c>
      <c r="G6" s="89" t="s">
        <v>4</v>
      </c>
      <c r="H6" s="90">
        <v>15</v>
      </c>
      <c r="I6" s="89" t="s">
        <v>13</v>
      </c>
      <c r="J6" s="91">
        <v>154</v>
      </c>
      <c r="K6" s="90">
        <v>67760</v>
      </c>
      <c r="L6" s="90">
        <v>0</v>
      </c>
      <c r="M6" s="89" t="s">
        <v>68</v>
      </c>
      <c r="N6" s="89" t="s">
        <v>69</v>
      </c>
      <c r="O6" s="92">
        <v>45715</v>
      </c>
      <c r="P6" s="89" t="s">
        <v>70</v>
      </c>
      <c r="Q6" s="89"/>
      <c r="R6" s="90">
        <v>15</v>
      </c>
      <c r="S6" s="89" t="s">
        <v>13</v>
      </c>
      <c r="T6" s="91">
        <v>154</v>
      </c>
      <c r="U6" s="90">
        <f t="shared" si="0"/>
        <v>67760</v>
      </c>
      <c r="V6" s="90">
        <v>0</v>
      </c>
      <c r="W6" s="79">
        <f t="shared" si="1"/>
        <v>0</v>
      </c>
      <c r="X6" s="66">
        <f t="shared" si="4"/>
        <v>0</v>
      </c>
      <c r="Y6" s="66">
        <f t="shared" si="2"/>
        <v>0</v>
      </c>
      <c r="Z6" s="67">
        <f t="shared" si="3"/>
        <v>0</v>
      </c>
    </row>
    <row r="7" spans="1:26" x14ac:dyDescent="0.3">
      <c r="A7" s="85"/>
      <c r="B7" s="95" t="s">
        <v>75</v>
      </c>
      <c r="C7" s="87"/>
      <c r="D7" s="88"/>
      <c r="E7" s="89"/>
      <c r="F7" s="89">
        <v>56075000</v>
      </c>
      <c r="G7" s="89" t="s">
        <v>4</v>
      </c>
      <c r="H7" s="90">
        <v>200</v>
      </c>
      <c r="I7" s="89" t="s">
        <v>13</v>
      </c>
      <c r="J7" s="91">
        <v>44</v>
      </c>
      <c r="K7" s="90">
        <v>17600</v>
      </c>
      <c r="L7" s="90">
        <v>0</v>
      </c>
      <c r="M7" s="89" t="s">
        <v>68</v>
      </c>
      <c r="N7" s="89" t="s">
        <v>69</v>
      </c>
      <c r="O7" s="92">
        <v>45715</v>
      </c>
      <c r="P7" s="89" t="s">
        <v>70</v>
      </c>
      <c r="Q7" s="89"/>
      <c r="R7" s="90">
        <v>200</v>
      </c>
      <c r="S7" s="89" t="s">
        <v>13</v>
      </c>
      <c r="T7" s="91">
        <v>44</v>
      </c>
      <c r="U7" s="90">
        <f t="shared" si="0"/>
        <v>17600</v>
      </c>
      <c r="V7" s="90">
        <v>0</v>
      </c>
      <c r="W7" s="79">
        <f t="shared" si="1"/>
        <v>0</v>
      </c>
      <c r="X7" s="66">
        <f t="shared" si="4"/>
        <v>0</v>
      </c>
      <c r="Y7" s="66">
        <f t="shared" si="2"/>
        <v>0</v>
      </c>
      <c r="Z7" s="67">
        <f t="shared" si="3"/>
        <v>0</v>
      </c>
    </row>
    <row r="8" spans="1:26" x14ac:dyDescent="0.3">
      <c r="A8" s="85"/>
      <c r="B8" s="95" t="s">
        <v>76</v>
      </c>
      <c r="C8" s="87"/>
      <c r="D8" s="88"/>
      <c r="E8" s="89"/>
      <c r="F8" s="89">
        <v>48202000</v>
      </c>
      <c r="G8" s="89" t="s">
        <v>4</v>
      </c>
      <c r="H8" s="90">
        <v>3</v>
      </c>
      <c r="I8" s="89" t="s">
        <v>13</v>
      </c>
      <c r="J8" s="91">
        <v>22</v>
      </c>
      <c r="K8" s="90">
        <v>3300</v>
      </c>
      <c r="L8" s="90">
        <v>0</v>
      </c>
      <c r="M8" s="89" t="s">
        <v>68</v>
      </c>
      <c r="N8" s="89" t="s">
        <v>69</v>
      </c>
      <c r="O8" s="92">
        <v>45715</v>
      </c>
      <c r="P8" s="89" t="s">
        <v>70</v>
      </c>
      <c r="Q8" s="89"/>
      <c r="R8" s="90">
        <v>3</v>
      </c>
      <c r="S8" s="89" t="s">
        <v>13</v>
      </c>
      <c r="T8" s="91">
        <v>22</v>
      </c>
      <c r="U8" s="90">
        <f t="shared" si="0"/>
        <v>3300</v>
      </c>
      <c r="V8" s="90">
        <v>0</v>
      </c>
      <c r="W8" s="79">
        <f t="shared" si="1"/>
        <v>0</v>
      </c>
      <c r="X8" s="66">
        <f t="shared" si="4"/>
        <v>0</v>
      </c>
      <c r="Y8" s="66">
        <f t="shared" si="2"/>
        <v>0</v>
      </c>
      <c r="Z8" s="67">
        <f t="shared" si="3"/>
        <v>0</v>
      </c>
    </row>
    <row r="9" spans="1:26" x14ac:dyDescent="0.3">
      <c r="A9" s="85"/>
      <c r="B9" s="95" t="s">
        <v>77</v>
      </c>
      <c r="C9" s="87"/>
      <c r="D9" s="88"/>
      <c r="E9" s="89"/>
      <c r="F9" s="89">
        <v>96081000</v>
      </c>
      <c r="G9" s="89" t="s">
        <v>4</v>
      </c>
      <c r="H9" s="90">
        <v>22</v>
      </c>
      <c r="I9" s="89" t="s">
        <v>5</v>
      </c>
      <c r="J9" s="91">
        <v>22</v>
      </c>
      <c r="K9" s="90">
        <v>660</v>
      </c>
      <c r="L9" s="90">
        <v>0</v>
      </c>
      <c r="M9" s="89" t="s">
        <v>68</v>
      </c>
      <c r="N9" s="89" t="s">
        <v>69</v>
      </c>
      <c r="O9" s="92">
        <v>45715</v>
      </c>
      <c r="P9" s="89" t="s">
        <v>70</v>
      </c>
      <c r="Q9" s="89"/>
      <c r="R9" s="90">
        <v>22</v>
      </c>
      <c r="S9" s="89" t="s">
        <v>5</v>
      </c>
      <c r="T9" s="91">
        <v>22</v>
      </c>
      <c r="U9" s="90">
        <f t="shared" si="0"/>
        <v>660</v>
      </c>
      <c r="V9" s="90">
        <v>0</v>
      </c>
      <c r="W9" s="79">
        <f t="shared" si="1"/>
        <v>0</v>
      </c>
      <c r="X9" s="66">
        <f t="shared" si="4"/>
        <v>0</v>
      </c>
      <c r="Y9" s="66">
        <f t="shared" si="2"/>
        <v>0</v>
      </c>
      <c r="Z9" s="67">
        <f t="shared" si="3"/>
        <v>0</v>
      </c>
    </row>
    <row r="10" spans="1:26" x14ac:dyDescent="0.3">
      <c r="A10" s="85"/>
      <c r="B10" s="94" t="s">
        <v>78</v>
      </c>
      <c r="C10" s="87"/>
      <c r="D10" s="88"/>
      <c r="E10" s="89"/>
      <c r="F10" s="89">
        <v>39249000</v>
      </c>
      <c r="G10" s="89" t="s">
        <v>4</v>
      </c>
      <c r="H10" s="90">
        <v>30</v>
      </c>
      <c r="I10" s="89" t="s">
        <v>13</v>
      </c>
      <c r="J10" s="91">
        <v>44</v>
      </c>
      <c r="K10" s="90">
        <v>9460</v>
      </c>
      <c r="L10" s="90">
        <v>0</v>
      </c>
      <c r="M10" s="89" t="s">
        <v>68</v>
      </c>
      <c r="N10" s="89" t="s">
        <v>69</v>
      </c>
      <c r="O10" s="92">
        <v>45715</v>
      </c>
      <c r="P10" s="89" t="s">
        <v>70</v>
      </c>
      <c r="Q10" s="89"/>
      <c r="R10" s="90">
        <v>30</v>
      </c>
      <c r="S10" s="89" t="s">
        <v>13</v>
      </c>
      <c r="T10" s="91">
        <v>44</v>
      </c>
      <c r="U10" s="90">
        <f t="shared" si="0"/>
        <v>9460</v>
      </c>
      <c r="V10" s="90">
        <v>0</v>
      </c>
      <c r="W10" s="79">
        <f t="shared" si="1"/>
        <v>0</v>
      </c>
      <c r="X10" s="66">
        <f t="shared" si="4"/>
        <v>0</v>
      </c>
      <c r="Y10" s="66">
        <f t="shared" si="2"/>
        <v>0</v>
      </c>
      <c r="Z10" s="67">
        <f t="shared" si="3"/>
        <v>0</v>
      </c>
    </row>
    <row r="11" spans="1:26" x14ac:dyDescent="0.3">
      <c r="A11" s="85"/>
      <c r="B11" s="95" t="s">
        <v>79</v>
      </c>
      <c r="C11" s="87"/>
      <c r="D11" s="88"/>
      <c r="E11" s="89"/>
      <c r="F11" s="89">
        <v>34011100</v>
      </c>
      <c r="G11" s="89" t="s">
        <v>4</v>
      </c>
      <c r="H11" s="90">
        <v>198</v>
      </c>
      <c r="I11" s="89" t="s">
        <v>13</v>
      </c>
      <c r="J11" s="91">
        <v>2200</v>
      </c>
      <c r="K11" s="90">
        <v>268840</v>
      </c>
      <c r="L11" s="90">
        <v>0</v>
      </c>
      <c r="M11" s="89" t="s">
        <v>68</v>
      </c>
      <c r="N11" s="89" t="s">
        <v>69</v>
      </c>
      <c r="O11" s="92">
        <v>45715</v>
      </c>
      <c r="P11" s="89" t="s">
        <v>70</v>
      </c>
      <c r="Q11" s="89"/>
      <c r="R11" s="90">
        <v>198</v>
      </c>
      <c r="S11" s="89" t="s">
        <v>13</v>
      </c>
      <c r="T11" s="91">
        <v>2200</v>
      </c>
      <c r="U11" s="90">
        <f t="shared" si="0"/>
        <v>268840</v>
      </c>
      <c r="V11" s="90">
        <v>0</v>
      </c>
      <c r="W11" s="79">
        <f t="shared" si="1"/>
        <v>0</v>
      </c>
      <c r="X11" s="66">
        <f t="shared" si="4"/>
        <v>0</v>
      </c>
      <c r="Y11" s="66">
        <f t="shared" si="2"/>
        <v>0</v>
      </c>
      <c r="Z11" s="67">
        <f t="shared" si="3"/>
        <v>0</v>
      </c>
    </row>
    <row r="12" spans="1:26" x14ac:dyDescent="0.3">
      <c r="A12" s="85"/>
      <c r="B12" s="95" t="s">
        <v>80</v>
      </c>
      <c r="C12" s="87"/>
      <c r="D12" s="88"/>
      <c r="E12" s="89"/>
      <c r="F12" s="89">
        <v>90183100</v>
      </c>
      <c r="G12" s="89" t="s">
        <v>4</v>
      </c>
      <c r="H12" s="90">
        <v>2200</v>
      </c>
      <c r="I12" s="89" t="s">
        <v>5</v>
      </c>
      <c r="J12" s="91">
        <v>22</v>
      </c>
      <c r="K12" s="90">
        <v>23430</v>
      </c>
      <c r="L12" s="90">
        <v>0</v>
      </c>
      <c r="M12" s="89" t="s">
        <v>68</v>
      </c>
      <c r="N12" s="89" t="s">
        <v>69</v>
      </c>
      <c r="O12" s="92">
        <v>45715</v>
      </c>
      <c r="P12" s="89" t="s">
        <v>70</v>
      </c>
      <c r="Q12" s="89"/>
      <c r="R12" s="90">
        <v>2200</v>
      </c>
      <c r="S12" s="89" t="s">
        <v>5</v>
      </c>
      <c r="T12" s="91">
        <v>22</v>
      </c>
      <c r="U12" s="90">
        <f t="shared" si="0"/>
        <v>23430</v>
      </c>
      <c r="V12" s="90">
        <v>0</v>
      </c>
      <c r="W12" s="79">
        <f t="shared" si="1"/>
        <v>0</v>
      </c>
      <c r="X12" s="66">
        <f t="shared" si="4"/>
        <v>0</v>
      </c>
      <c r="Y12" s="66">
        <f t="shared" si="2"/>
        <v>0</v>
      </c>
      <c r="Z12" s="67">
        <f t="shared" si="3"/>
        <v>0</v>
      </c>
    </row>
    <row r="13" spans="1:26" x14ac:dyDescent="0.3">
      <c r="A13" s="1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11"/>
      <c r="N13" s="46"/>
      <c r="O13" s="46"/>
      <c r="P13" s="130"/>
      <c r="Q13" s="46"/>
      <c r="R13" s="46"/>
      <c r="S13" s="46"/>
      <c r="T13" s="46"/>
      <c r="U13" s="46"/>
      <c r="V13" s="46"/>
      <c r="W13" s="131"/>
      <c r="X13" s="81"/>
      <c r="Y13" s="81"/>
      <c r="Z13" s="131"/>
    </row>
    <row r="14" spans="1:26" x14ac:dyDescent="0.3">
      <c r="A14" s="85" t="s">
        <v>81</v>
      </c>
      <c r="B14" s="86" t="s">
        <v>82</v>
      </c>
      <c r="C14" s="87" t="s">
        <v>83</v>
      </c>
      <c r="D14" s="88">
        <v>45678</v>
      </c>
      <c r="E14" s="89" t="s">
        <v>84</v>
      </c>
      <c r="F14" s="89">
        <v>30044900</v>
      </c>
      <c r="G14" s="89" t="s">
        <v>85</v>
      </c>
      <c r="H14" s="90">
        <v>1</v>
      </c>
      <c r="I14" s="89" t="s">
        <v>13</v>
      </c>
      <c r="J14" s="91">
        <v>100</v>
      </c>
      <c r="K14" s="90">
        <v>148605.28</v>
      </c>
      <c r="L14" s="90">
        <v>3223</v>
      </c>
      <c r="M14" s="89" t="s">
        <v>86</v>
      </c>
      <c r="N14" s="89" t="s">
        <v>87</v>
      </c>
      <c r="O14" s="88">
        <v>46168</v>
      </c>
      <c r="P14" s="89" t="s">
        <v>88</v>
      </c>
      <c r="Q14" s="89"/>
      <c r="R14" s="90">
        <v>1</v>
      </c>
      <c r="S14" s="89" t="s">
        <v>13</v>
      </c>
      <c r="T14" s="91">
        <v>100</v>
      </c>
      <c r="U14" s="90">
        <v>148605.28</v>
      </c>
      <c r="V14" s="90">
        <v>3223</v>
      </c>
      <c r="W14" s="79">
        <f>SUM(J14-T14)</f>
        <v>0</v>
      </c>
      <c r="X14" s="66">
        <f>SUM(K14-U14)</f>
        <v>0</v>
      </c>
      <c r="Y14" s="66">
        <f>L14-V14</f>
        <v>0</v>
      </c>
      <c r="Z14" s="67">
        <f>SUM(H14-R14)</f>
        <v>0</v>
      </c>
    </row>
    <row r="15" spans="1:26" x14ac:dyDescent="0.3">
      <c r="A15" s="64"/>
      <c r="B15" s="17" t="s">
        <v>89</v>
      </c>
      <c r="C15" s="18"/>
      <c r="D15" s="16"/>
      <c r="E15" s="11"/>
      <c r="F15" s="11">
        <v>30049000</v>
      </c>
      <c r="G15" s="11" t="s">
        <v>90</v>
      </c>
      <c r="H15" s="12">
        <v>5</v>
      </c>
      <c r="I15" s="11" t="s">
        <v>13</v>
      </c>
      <c r="J15" s="13">
        <v>100</v>
      </c>
      <c r="K15" s="12">
        <v>68366.91</v>
      </c>
      <c r="L15" s="12">
        <v>1368</v>
      </c>
      <c r="M15" s="11"/>
      <c r="N15" s="11"/>
      <c r="O15" s="11"/>
      <c r="P15" s="22"/>
      <c r="Q15" s="11"/>
      <c r="R15" s="12">
        <v>0</v>
      </c>
      <c r="S15" s="11"/>
      <c r="T15" s="13">
        <v>0</v>
      </c>
      <c r="U15" s="12">
        <v>0</v>
      </c>
      <c r="V15" s="12"/>
      <c r="W15" s="79">
        <f>J15-T15</f>
        <v>100</v>
      </c>
      <c r="X15" s="66">
        <v>68366.91</v>
      </c>
      <c r="Y15" s="66">
        <f>L15</f>
        <v>1368</v>
      </c>
      <c r="Z15" s="67">
        <f>H15-R15</f>
        <v>5</v>
      </c>
    </row>
    <row r="16" spans="1:26" x14ac:dyDescent="0.3">
      <c r="A16" s="64"/>
      <c r="B16" s="19" t="s">
        <v>91</v>
      </c>
      <c r="C16" s="20"/>
      <c r="D16" s="21"/>
      <c r="E16" s="22"/>
      <c r="F16" s="11">
        <v>30049000</v>
      </c>
      <c r="G16" s="11" t="s">
        <v>90</v>
      </c>
      <c r="H16" s="23">
        <v>23</v>
      </c>
      <c r="I16" s="11" t="s">
        <v>13</v>
      </c>
      <c r="J16" s="24">
        <v>236</v>
      </c>
      <c r="K16" s="23">
        <v>306739.21999999997</v>
      </c>
      <c r="L16" s="23">
        <v>6135</v>
      </c>
      <c r="M16" s="22" t="s">
        <v>92</v>
      </c>
      <c r="N16" s="11" t="s">
        <v>93</v>
      </c>
      <c r="O16" s="21">
        <v>45876</v>
      </c>
      <c r="P16" s="22" t="s">
        <v>94</v>
      </c>
      <c r="Q16" s="22"/>
      <c r="R16" s="23">
        <v>0.4</v>
      </c>
      <c r="S16" s="22" t="s">
        <v>13</v>
      </c>
      <c r="T16" s="24">
        <v>4</v>
      </c>
      <c r="U16" s="23">
        <f>(K16*T16)/J16</f>
        <v>5198.9698305084739</v>
      </c>
      <c r="V16" s="23">
        <f>SUM(T16*L16/J16)</f>
        <v>103.98305084745763</v>
      </c>
      <c r="W16" s="79">
        <f>J16-T16</f>
        <v>232</v>
      </c>
      <c r="X16" s="66">
        <f>K16-U16</f>
        <v>301540.25016949151</v>
      </c>
      <c r="Y16" s="66">
        <f>L16-V16</f>
        <v>6031.0169491525421</v>
      </c>
      <c r="Z16" s="67">
        <f>H16-R16</f>
        <v>22.6</v>
      </c>
    </row>
    <row r="17" spans="1:26" x14ac:dyDescent="0.3">
      <c r="A17" s="85"/>
      <c r="B17" s="96" t="s">
        <v>95</v>
      </c>
      <c r="C17" s="97"/>
      <c r="D17" s="88"/>
      <c r="E17" s="89"/>
      <c r="F17" s="89">
        <v>30049000</v>
      </c>
      <c r="G17" s="89" t="s">
        <v>90</v>
      </c>
      <c r="H17" s="90">
        <v>2</v>
      </c>
      <c r="I17" s="89" t="s">
        <v>13</v>
      </c>
      <c r="J17" s="91">
        <v>240</v>
      </c>
      <c r="K17" s="90">
        <v>26598.63</v>
      </c>
      <c r="L17" s="90">
        <v>532</v>
      </c>
      <c r="M17" s="89" t="s">
        <v>96</v>
      </c>
      <c r="N17" s="89" t="s">
        <v>97</v>
      </c>
      <c r="O17" s="88">
        <v>45707</v>
      </c>
      <c r="P17" s="89" t="s">
        <v>98</v>
      </c>
      <c r="Q17" s="89"/>
      <c r="R17" s="90">
        <v>0.5</v>
      </c>
      <c r="S17" s="89" t="s">
        <v>13</v>
      </c>
      <c r="T17" s="91">
        <v>3</v>
      </c>
      <c r="U17" s="90">
        <f>(T17*K17)/J17</f>
        <v>332.48287499999998</v>
      </c>
      <c r="V17" s="90">
        <f>SUM(T17*L17/J17)</f>
        <v>6.65</v>
      </c>
      <c r="W17" s="132">
        <f>J17-T17-T18-T19</f>
        <v>0</v>
      </c>
      <c r="X17" s="66">
        <f>K17-U17-U18-U19</f>
        <v>0</v>
      </c>
      <c r="Y17" s="66">
        <f>L17-V17-V18-V19</f>
        <v>0</v>
      </c>
      <c r="Z17" s="67">
        <f>H17-R17-R18-R19</f>
        <v>0</v>
      </c>
    </row>
    <row r="18" spans="1:26" x14ac:dyDescent="0.3">
      <c r="A18" s="85"/>
      <c r="B18" s="96"/>
      <c r="C18" s="96"/>
      <c r="D18" s="101"/>
      <c r="E18" s="102"/>
      <c r="F18" s="102"/>
      <c r="G18" s="102"/>
      <c r="H18" s="103"/>
      <c r="I18" s="102"/>
      <c r="J18" s="104"/>
      <c r="K18" s="103"/>
      <c r="L18" s="103"/>
      <c r="M18" s="89" t="s">
        <v>99</v>
      </c>
      <c r="N18" s="89" t="s">
        <v>100</v>
      </c>
      <c r="O18" s="88">
        <v>45946</v>
      </c>
      <c r="P18" s="89" t="s">
        <v>101</v>
      </c>
      <c r="Q18" s="89"/>
      <c r="R18" s="90">
        <v>0.1</v>
      </c>
      <c r="S18" s="89" t="s">
        <v>13</v>
      </c>
      <c r="T18" s="91">
        <v>3</v>
      </c>
      <c r="U18" s="90">
        <f>(T18*K17)/J17</f>
        <v>332.48287499999998</v>
      </c>
      <c r="V18" s="90">
        <f>SUM(T18*L17/J17)</f>
        <v>6.65</v>
      </c>
      <c r="W18" s="132"/>
      <c r="X18" s="66"/>
      <c r="Y18" s="66"/>
      <c r="Z18" s="67"/>
    </row>
    <row r="19" spans="1:26" x14ac:dyDescent="0.3">
      <c r="A19" s="85"/>
      <c r="B19" s="96"/>
      <c r="C19" s="96"/>
      <c r="D19" s="101"/>
      <c r="E19" s="102"/>
      <c r="F19" s="102"/>
      <c r="G19" s="102"/>
      <c r="H19" s="103"/>
      <c r="I19" s="102"/>
      <c r="J19" s="104"/>
      <c r="K19" s="103"/>
      <c r="L19" s="103"/>
      <c r="M19" s="89" t="s">
        <v>86</v>
      </c>
      <c r="N19" s="89" t="s">
        <v>87</v>
      </c>
      <c r="O19" s="88">
        <v>46168</v>
      </c>
      <c r="P19" s="89" t="s">
        <v>88</v>
      </c>
      <c r="Q19" s="89"/>
      <c r="R19" s="90">
        <v>1.4</v>
      </c>
      <c r="S19" s="89" t="s">
        <v>13</v>
      </c>
      <c r="T19" s="91">
        <v>234</v>
      </c>
      <c r="U19" s="90">
        <f>SUM(T19*K17)/J17</f>
        <v>25933.664249999998</v>
      </c>
      <c r="V19" s="90">
        <f>SUM(T19*L17/J17)</f>
        <v>518.70000000000005</v>
      </c>
      <c r="W19" s="132"/>
      <c r="X19" s="66"/>
      <c r="Y19" s="66"/>
      <c r="Z19" s="67"/>
    </row>
    <row r="20" spans="1:26" x14ac:dyDescent="0.3">
      <c r="A20" s="85"/>
      <c r="B20" s="95" t="s">
        <v>102</v>
      </c>
      <c r="C20" s="97"/>
      <c r="D20" s="88"/>
      <c r="E20" s="89"/>
      <c r="F20" s="89">
        <v>30049000</v>
      </c>
      <c r="G20" s="89" t="s">
        <v>90</v>
      </c>
      <c r="H20" s="90">
        <v>4</v>
      </c>
      <c r="I20" s="89" t="s">
        <v>13</v>
      </c>
      <c r="J20" s="91">
        <v>540</v>
      </c>
      <c r="K20" s="90">
        <v>65461.36</v>
      </c>
      <c r="L20" s="90">
        <v>1310</v>
      </c>
      <c r="M20" s="89" t="s">
        <v>103</v>
      </c>
      <c r="N20" s="89" t="s">
        <v>104</v>
      </c>
      <c r="O20" s="88">
        <v>45764</v>
      </c>
      <c r="P20" s="89" t="s">
        <v>105</v>
      </c>
      <c r="Q20" s="89"/>
      <c r="R20" s="90">
        <v>0.3</v>
      </c>
      <c r="S20" s="89" t="s">
        <v>13</v>
      </c>
      <c r="T20" s="91">
        <v>1</v>
      </c>
      <c r="U20" s="90">
        <f>(T20*K20)/J20</f>
        <v>121.22474074074074</v>
      </c>
      <c r="V20" s="90">
        <f>SUM(T20*L20/J20)</f>
        <v>2.425925925925926</v>
      </c>
      <c r="W20" s="79">
        <f>J20-T20-T21</f>
        <v>0</v>
      </c>
      <c r="X20" s="66">
        <f>K20-U20-U21</f>
        <v>0</v>
      </c>
      <c r="Y20" s="66">
        <f>L20-V20-V21</f>
        <v>0</v>
      </c>
      <c r="Z20" s="67">
        <f>H20-R20-R21</f>
        <v>0</v>
      </c>
    </row>
    <row r="21" spans="1:26" x14ac:dyDescent="0.3">
      <c r="A21" s="85"/>
      <c r="B21" s="95"/>
      <c r="C21" s="97"/>
      <c r="D21" s="88"/>
      <c r="E21" s="89"/>
      <c r="F21" s="89"/>
      <c r="G21" s="89"/>
      <c r="H21" s="90"/>
      <c r="I21" s="89"/>
      <c r="J21" s="91"/>
      <c r="K21" s="90"/>
      <c r="L21" s="90"/>
      <c r="M21" s="89" t="s">
        <v>86</v>
      </c>
      <c r="N21" s="89" t="s">
        <v>87</v>
      </c>
      <c r="O21" s="88">
        <v>46168</v>
      </c>
      <c r="P21" s="89" t="s">
        <v>88</v>
      </c>
      <c r="Q21" s="89"/>
      <c r="R21" s="90">
        <v>3.7</v>
      </c>
      <c r="S21" s="89" t="s">
        <v>13</v>
      </c>
      <c r="T21" s="91">
        <v>539</v>
      </c>
      <c r="U21" s="90">
        <f>SUM(T21*K20)/J20</f>
        <v>65340.135259259259</v>
      </c>
      <c r="V21" s="90">
        <f>SUM(T21*L20/J20)</f>
        <v>1307.5740740740741</v>
      </c>
      <c r="W21" s="79"/>
      <c r="X21" s="66"/>
      <c r="Y21" s="66"/>
      <c r="Z21" s="67"/>
    </row>
    <row r="22" spans="1:26" x14ac:dyDescent="0.3">
      <c r="A22" s="64"/>
      <c r="B22" s="55" t="s">
        <v>106</v>
      </c>
      <c r="C22" s="20"/>
      <c r="D22" s="21"/>
      <c r="E22" s="22"/>
      <c r="F22" s="11">
        <v>30049000</v>
      </c>
      <c r="G22" s="22" t="s">
        <v>90</v>
      </c>
      <c r="H22" s="23">
        <v>42</v>
      </c>
      <c r="I22" s="22" t="s">
        <v>13</v>
      </c>
      <c r="J22" s="24">
        <v>105</v>
      </c>
      <c r="K22" s="23">
        <v>570354.31999999995</v>
      </c>
      <c r="L22" s="23">
        <v>11408</v>
      </c>
      <c r="M22" s="11" t="s">
        <v>96</v>
      </c>
      <c r="N22" s="11" t="s">
        <v>107</v>
      </c>
      <c r="O22" s="16">
        <v>45756</v>
      </c>
      <c r="P22" s="22" t="s">
        <v>108</v>
      </c>
      <c r="Q22" s="22"/>
      <c r="R22" s="23">
        <v>0.4</v>
      </c>
      <c r="S22" s="22" t="s">
        <v>13</v>
      </c>
      <c r="T22" s="24">
        <v>1</v>
      </c>
      <c r="U22" s="23">
        <f>(T22*K22)/J22</f>
        <v>5431.9459047619039</v>
      </c>
      <c r="V22" s="121">
        <f>SUM(T22*L22/J22)</f>
        <v>108.64761904761905</v>
      </c>
      <c r="W22" s="132">
        <f>J22-T22-T23-T24</f>
        <v>102</v>
      </c>
      <c r="X22" s="66">
        <f>K22-U22-U23-U24</f>
        <v>554058.48228571424</v>
      </c>
      <c r="Y22" s="66">
        <f>L22-V22-V23-V24</f>
        <v>11082.057142857144</v>
      </c>
      <c r="Z22" s="67">
        <f>H22-R22-R23-R24</f>
        <v>41.000000000000007</v>
      </c>
    </row>
    <row r="23" spans="1:26" x14ac:dyDescent="0.3">
      <c r="A23" s="64"/>
      <c r="B23" s="55"/>
      <c r="C23" s="20"/>
      <c r="D23" s="21"/>
      <c r="E23" s="22"/>
      <c r="F23" s="11"/>
      <c r="G23" s="22"/>
      <c r="H23" s="23"/>
      <c r="I23" s="22"/>
      <c r="J23" s="24"/>
      <c r="K23" s="23"/>
      <c r="L23" s="23"/>
      <c r="M23" s="22" t="s">
        <v>92</v>
      </c>
      <c r="N23" s="11" t="s">
        <v>109</v>
      </c>
      <c r="O23" s="21">
        <v>45852</v>
      </c>
      <c r="P23" s="22" t="s">
        <v>110</v>
      </c>
      <c r="Q23" s="22"/>
      <c r="R23" s="23">
        <v>0.3</v>
      </c>
      <c r="S23" s="22" t="s">
        <v>13</v>
      </c>
      <c r="T23" s="24">
        <v>1</v>
      </c>
      <c r="U23" s="23">
        <f>(T23*K22)/J22</f>
        <v>5431.9459047619039</v>
      </c>
      <c r="V23" s="121">
        <f>SUM(T23*L22/J22)</f>
        <v>108.64761904761905</v>
      </c>
      <c r="W23" s="132"/>
      <c r="X23" s="66"/>
      <c r="Y23" s="66"/>
      <c r="Z23" s="67"/>
    </row>
    <row r="24" spans="1:26" x14ac:dyDescent="0.3">
      <c r="A24" s="64"/>
      <c r="B24" s="55"/>
      <c r="C24" s="20"/>
      <c r="D24" s="21"/>
      <c r="E24" s="22"/>
      <c r="F24" s="11"/>
      <c r="G24" s="22"/>
      <c r="H24" s="23"/>
      <c r="I24" s="22"/>
      <c r="J24" s="24"/>
      <c r="K24" s="23"/>
      <c r="L24" s="23"/>
      <c r="M24" s="22" t="s">
        <v>111</v>
      </c>
      <c r="N24" s="22" t="s">
        <v>112</v>
      </c>
      <c r="O24" s="21">
        <v>45933</v>
      </c>
      <c r="P24" s="22" t="s">
        <v>113</v>
      </c>
      <c r="Q24" s="22"/>
      <c r="R24" s="23">
        <v>0.3</v>
      </c>
      <c r="S24" s="22" t="s">
        <v>13</v>
      </c>
      <c r="T24" s="24">
        <v>1</v>
      </c>
      <c r="U24" s="23">
        <f>(T24*K22)/J22</f>
        <v>5431.9459047619039</v>
      </c>
      <c r="V24" s="121">
        <f>SUM(T24*L22/J22)</f>
        <v>108.64761904761905</v>
      </c>
      <c r="W24" s="132"/>
      <c r="X24" s="66"/>
      <c r="Y24" s="66"/>
      <c r="Z24" s="67"/>
    </row>
    <row r="25" spans="1:26" x14ac:dyDescent="0.3">
      <c r="A25" s="85"/>
      <c r="B25" s="96" t="s">
        <v>114</v>
      </c>
      <c r="C25" s="97"/>
      <c r="D25" s="88"/>
      <c r="E25" s="89"/>
      <c r="F25" s="89">
        <v>30049000</v>
      </c>
      <c r="G25" s="89" t="s">
        <v>90</v>
      </c>
      <c r="H25" s="90">
        <v>22</v>
      </c>
      <c r="I25" s="89" t="s">
        <v>13</v>
      </c>
      <c r="J25" s="91">
        <v>180</v>
      </c>
      <c r="K25" s="90">
        <v>296191.98</v>
      </c>
      <c r="L25" s="90">
        <v>5924</v>
      </c>
      <c r="M25" s="89" t="s">
        <v>103</v>
      </c>
      <c r="N25" s="89" t="s">
        <v>115</v>
      </c>
      <c r="O25" s="88">
        <v>45905</v>
      </c>
      <c r="P25" s="89" t="s">
        <v>116</v>
      </c>
      <c r="Q25" s="89"/>
      <c r="R25" s="90">
        <v>0.3</v>
      </c>
      <c r="S25" s="89" t="s">
        <v>13</v>
      </c>
      <c r="T25" s="91">
        <v>1</v>
      </c>
      <c r="U25" s="90">
        <f>(K25*T25)/J25</f>
        <v>1645.511</v>
      </c>
      <c r="V25" s="90">
        <f>SUM(T25*L25/J25)</f>
        <v>32.911111111111111</v>
      </c>
      <c r="W25" s="132">
        <f>J25-T25-T26-T27-T28-T29</f>
        <v>0</v>
      </c>
      <c r="X25" s="66">
        <f>K25-U25-U26-U27-U28-U29</f>
        <v>0</v>
      </c>
      <c r="Y25" s="66">
        <f>L25-V25-V26-V27-V28-V29</f>
        <v>0</v>
      </c>
      <c r="Z25" s="67">
        <f>H25-R25-R26-R27-R28-R29</f>
        <v>0</v>
      </c>
    </row>
    <row r="26" spans="1:26" x14ac:dyDescent="0.3">
      <c r="A26" s="85"/>
      <c r="B26" s="96"/>
      <c r="C26" s="97"/>
      <c r="D26" s="88"/>
      <c r="E26" s="89"/>
      <c r="F26" s="89"/>
      <c r="G26" s="89"/>
      <c r="H26" s="90"/>
      <c r="I26" s="89"/>
      <c r="J26" s="91"/>
      <c r="K26" s="90"/>
      <c r="L26" s="90"/>
      <c r="M26" s="89" t="s">
        <v>103</v>
      </c>
      <c r="N26" s="89" t="s">
        <v>117</v>
      </c>
      <c r="O26" s="88">
        <v>45924</v>
      </c>
      <c r="P26" s="89" t="s">
        <v>118</v>
      </c>
      <c r="Q26" s="89"/>
      <c r="R26" s="90">
        <v>0.3</v>
      </c>
      <c r="S26" s="89" t="s">
        <v>13</v>
      </c>
      <c r="T26" s="91">
        <v>1</v>
      </c>
      <c r="U26" s="90">
        <f>(K25*T26)/J25</f>
        <v>1645.511</v>
      </c>
      <c r="V26" s="90">
        <f>SUM(T26*L25/J25)</f>
        <v>32.911111111111111</v>
      </c>
      <c r="W26" s="132"/>
      <c r="X26" s="66"/>
      <c r="Y26" s="66"/>
      <c r="Z26" s="67"/>
    </row>
    <row r="27" spans="1:26" x14ac:dyDescent="0.3">
      <c r="A27" s="85"/>
      <c r="B27" s="96"/>
      <c r="C27" s="97"/>
      <c r="D27" s="88"/>
      <c r="E27" s="89"/>
      <c r="F27" s="89"/>
      <c r="G27" s="89"/>
      <c r="H27" s="90"/>
      <c r="I27" s="89"/>
      <c r="J27" s="91"/>
      <c r="K27" s="90"/>
      <c r="L27" s="90"/>
      <c r="M27" s="89" t="s">
        <v>103</v>
      </c>
      <c r="N27" s="89" t="s">
        <v>119</v>
      </c>
      <c r="O27" s="88">
        <v>45943</v>
      </c>
      <c r="P27" s="89" t="s">
        <v>120</v>
      </c>
      <c r="Q27" s="89"/>
      <c r="R27" s="90">
        <v>0.3</v>
      </c>
      <c r="S27" s="89" t="s">
        <v>13</v>
      </c>
      <c r="T27" s="91">
        <v>1</v>
      </c>
      <c r="U27" s="90">
        <f>(K25*T27)/J25</f>
        <v>1645.511</v>
      </c>
      <c r="V27" s="90">
        <f>SUM(T27*L25/J25)</f>
        <v>32.911111111111111</v>
      </c>
      <c r="W27" s="132"/>
      <c r="X27" s="66"/>
      <c r="Y27" s="66"/>
      <c r="Z27" s="67"/>
    </row>
    <row r="28" spans="1:26" x14ac:dyDescent="0.3">
      <c r="A28" s="85"/>
      <c r="B28" s="96"/>
      <c r="C28" s="97"/>
      <c r="D28" s="88"/>
      <c r="E28" s="89"/>
      <c r="F28" s="89"/>
      <c r="G28" s="89"/>
      <c r="H28" s="90"/>
      <c r="I28" s="89"/>
      <c r="J28" s="91"/>
      <c r="K28" s="90"/>
      <c r="L28" s="90"/>
      <c r="M28" s="89" t="s">
        <v>103</v>
      </c>
      <c r="N28" s="89" t="s">
        <v>121</v>
      </c>
      <c r="O28" s="88">
        <v>45953</v>
      </c>
      <c r="P28" s="89" t="s">
        <v>122</v>
      </c>
      <c r="Q28" s="89"/>
      <c r="R28" s="90">
        <v>0.3</v>
      </c>
      <c r="S28" s="89" t="s">
        <v>13</v>
      </c>
      <c r="T28" s="91">
        <v>1</v>
      </c>
      <c r="U28" s="90">
        <f>(K25*T28)/J25</f>
        <v>1645.511</v>
      </c>
      <c r="V28" s="90">
        <f>SUM(T28*L25/J25)</f>
        <v>32.911111111111111</v>
      </c>
      <c r="W28" s="132"/>
      <c r="X28" s="66"/>
      <c r="Y28" s="66"/>
      <c r="Z28" s="67"/>
    </row>
    <row r="29" spans="1:26" x14ac:dyDescent="0.3">
      <c r="A29" s="85"/>
      <c r="B29" s="96"/>
      <c r="C29" s="97"/>
      <c r="D29" s="88"/>
      <c r="E29" s="89"/>
      <c r="F29" s="89"/>
      <c r="G29" s="89"/>
      <c r="H29" s="90"/>
      <c r="I29" s="89"/>
      <c r="J29" s="91"/>
      <c r="K29" s="90"/>
      <c r="L29" s="90"/>
      <c r="M29" s="89" t="s">
        <v>123</v>
      </c>
      <c r="N29" s="89" t="s">
        <v>124</v>
      </c>
      <c r="O29" s="88">
        <v>46087</v>
      </c>
      <c r="P29" s="89" t="s">
        <v>125</v>
      </c>
      <c r="Q29" s="98" t="s">
        <v>126</v>
      </c>
      <c r="R29" s="90">
        <v>20.8</v>
      </c>
      <c r="S29" s="89" t="s">
        <v>13</v>
      </c>
      <c r="T29" s="91">
        <v>176</v>
      </c>
      <c r="U29" s="90">
        <f>(T29*K25)/J25</f>
        <v>289609.93599999999</v>
      </c>
      <c r="V29" s="90">
        <f>SUM(T29*L25/J25)</f>
        <v>5792.3555555555558</v>
      </c>
      <c r="W29" s="132"/>
      <c r="X29" s="66"/>
      <c r="Y29" s="66"/>
      <c r="Z29" s="67"/>
    </row>
    <row r="30" spans="1:26" x14ac:dyDescent="0.3">
      <c r="A30" s="85"/>
      <c r="B30" s="95" t="s">
        <v>127</v>
      </c>
      <c r="C30" s="97"/>
      <c r="D30" s="88"/>
      <c r="E30" s="89"/>
      <c r="F30" s="89">
        <v>90258000</v>
      </c>
      <c r="G30" s="89" t="s">
        <v>90</v>
      </c>
      <c r="H30" s="90">
        <v>4</v>
      </c>
      <c r="I30" s="89" t="s">
        <v>5</v>
      </c>
      <c r="J30" s="91">
        <v>4</v>
      </c>
      <c r="K30" s="90">
        <v>319.13</v>
      </c>
      <c r="L30" s="90">
        <v>59</v>
      </c>
      <c r="M30" s="89"/>
      <c r="N30" s="89"/>
      <c r="O30" s="89"/>
      <c r="P30" s="89"/>
      <c r="Q30" s="89"/>
      <c r="R30" s="90"/>
      <c r="S30" s="89"/>
      <c r="T30" s="91">
        <v>4</v>
      </c>
      <c r="U30" s="90"/>
      <c r="V30" s="90">
        <f>SUM(T30*L30/J30)</f>
        <v>59</v>
      </c>
      <c r="W30" s="79">
        <f>J30-T30</f>
        <v>0</v>
      </c>
      <c r="X30" s="66">
        <v>0</v>
      </c>
      <c r="Y30" s="66">
        <f>L30-V30</f>
        <v>0</v>
      </c>
      <c r="Z30" s="67">
        <v>0</v>
      </c>
    </row>
    <row r="31" spans="1:26" x14ac:dyDescent="0.3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11"/>
      <c r="N31" s="46"/>
      <c r="O31" s="46"/>
      <c r="P31" s="46"/>
      <c r="Q31" s="46"/>
      <c r="R31" s="46"/>
      <c r="S31" s="46"/>
      <c r="T31" s="46"/>
      <c r="U31" s="46"/>
      <c r="V31" s="46"/>
      <c r="W31" s="131"/>
      <c r="X31" s="81"/>
      <c r="Y31" s="81"/>
      <c r="Z31" s="131"/>
    </row>
    <row r="32" spans="1:26" x14ac:dyDescent="0.3">
      <c r="A32" s="85" t="s">
        <v>81</v>
      </c>
      <c r="B32" s="93" t="s">
        <v>128</v>
      </c>
      <c r="C32" s="87" t="s">
        <v>129</v>
      </c>
      <c r="D32" s="88">
        <v>45685</v>
      </c>
      <c r="E32" s="89" t="s">
        <v>130</v>
      </c>
      <c r="F32" s="89">
        <v>30049000</v>
      </c>
      <c r="G32" s="89" t="s">
        <v>85</v>
      </c>
      <c r="H32" s="90">
        <v>50</v>
      </c>
      <c r="I32" s="89" t="s">
        <v>13</v>
      </c>
      <c r="J32" s="91">
        <v>110</v>
      </c>
      <c r="K32" s="90">
        <v>292400.84999999998</v>
      </c>
      <c r="L32" s="90">
        <v>6099</v>
      </c>
      <c r="M32" s="89" t="s">
        <v>68</v>
      </c>
      <c r="N32" s="89" t="s">
        <v>69</v>
      </c>
      <c r="O32" s="88">
        <v>45714</v>
      </c>
      <c r="P32" s="89" t="s">
        <v>131</v>
      </c>
      <c r="Q32" s="89"/>
      <c r="R32" s="90">
        <v>50</v>
      </c>
      <c r="S32" s="89" t="s">
        <v>13</v>
      </c>
      <c r="T32" s="91">
        <v>110</v>
      </c>
      <c r="U32" s="90">
        <v>292400.84999999998</v>
      </c>
      <c r="V32" s="90">
        <v>6099</v>
      </c>
      <c r="W32" s="105">
        <f t="shared" ref="W32:X35" si="5">SUM(J32-T32)</f>
        <v>0</v>
      </c>
      <c r="X32" s="66">
        <f t="shared" si="5"/>
        <v>0</v>
      </c>
      <c r="Y32" s="66">
        <f>L32-V32</f>
        <v>0</v>
      </c>
      <c r="Z32" s="72">
        <f>SUM(H32-R32)</f>
        <v>0</v>
      </c>
    </row>
    <row r="33" spans="1:26" x14ac:dyDescent="0.3">
      <c r="A33" s="85"/>
      <c r="B33" s="94" t="s">
        <v>132</v>
      </c>
      <c r="C33" s="97"/>
      <c r="D33" s="88"/>
      <c r="E33" s="89"/>
      <c r="F33" s="89">
        <v>30049000</v>
      </c>
      <c r="G33" s="89" t="s">
        <v>12</v>
      </c>
      <c r="H33" s="90">
        <v>10</v>
      </c>
      <c r="I33" s="89" t="s">
        <v>13</v>
      </c>
      <c r="J33" s="91">
        <v>33</v>
      </c>
      <c r="K33" s="90">
        <v>4706.9399999999996</v>
      </c>
      <c r="L33" s="90">
        <v>95</v>
      </c>
      <c r="M33" s="89" t="s">
        <v>68</v>
      </c>
      <c r="N33" s="89" t="s">
        <v>69</v>
      </c>
      <c r="O33" s="88">
        <v>45714</v>
      </c>
      <c r="P33" s="89" t="s">
        <v>131</v>
      </c>
      <c r="Q33" s="89"/>
      <c r="R33" s="90">
        <v>10</v>
      </c>
      <c r="S33" s="89" t="s">
        <v>13</v>
      </c>
      <c r="T33" s="91">
        <v>33</v>
      </c>
      <c r="U33" s="90">
        <v>4706.9399999999996</v>
      </c>
      <c r="V33" s="90">
        <v>95</v>
      </c>
      <c r="W33" s="105">
        <f t="shared" si="5"/>
        <v>0</v>
      </c>
      <c r="X33" s="66">
        <f t="shared" si="5"/>
        <v>0</v>
      </c>
      <c r="Y33" s="66">
        <f t="shared" ref="Y33:Y44" si="6">L33-V33</f>
        <v>0</v>
      </c>
      <c r="Z33" s="72">
        <f>SUM(H33-R33)</f>
        <v>0</v>
      </c>
    </row>
    <row r="34" spans="1:26" x14ac:dyDescent="0.3">
      <c r="A34" s="85"/>
      <c r="B34" s="94" t="s">
        <v>133</v>
      </c>
      <c r="C34" s="97"/>
      <c r="D34" s="88"/>
      <c r="E34" s="89"/>
      <c r="F34" s="89">
        <v>30049000</v>
      </c>
      <c r="G34" s="89" t="s">
        <v>85</v>
      </c>
      <c r="H34" s="90">
        <v>50</v>
      </c>
      <c r="I34" s="89" t="s">
        <v>13</v>
      </c>
      <c r="J34" s="91">
        <v>110</v>
      </c>
      <c r="K34" s="90">
        <v>292400.84999999998</v>
      </c>
      <c r="L34" s="90">
        <v>5849</v>
      </c>
      <c r="M34" s="89" t="s">
        <v>68</v>
      </c>
      <c r="N34" s="89" t="s">
        <v>69</v>
      </c>
      <c r="O34" s="88">
        <v>45714</v>
      </c>
      <c r="P34" s="89" t="s">
        <v>131</v>
      </c>
      <c r="Q34" s="89"/>
      <c r="R34" s="90">
        <v>50</v>
      </c>
      <c r="S34" s="89" t="s">
        <v>13</v>
      </c>
      <c r="T34" s="91">
        <v>110</v>
      </c>
      <c r="U34" s="90">
        <v>292400.84999999998</v>
      </c>
      <c r="V34" s="90">
        <v>5849</v>
      </c>
      <c r="W34" s="105">
        <f t="shared" si="5"/>
        <v>0</v>
      </c>
      <c r="X34" s="66">
        <f t="shared" si="5"/>
        <v>0</v>
      </c>
      <c r="Y34" s="66">
        <f t="shared" si="6"/>
        <v>0</v>
      </c>
      <c r="Z34" s="72">
        <f>SUM(H34-R34)</f>
        <v>0</v>
      </c>
    </row>
    <row r="35" spans="1:26" x14ac:dyDescent="0.3">
      <c r="A35" s="85"/>
      <c r="B35" s="94" t="s">
        <v>134</v>
      </c>
      <c r="C35" s="97"/>
      <c r="D35" s="88"/>
      <c r="E35" s="89"/>
      <c r="F35" s="89">
        <v>30049000</v>
      </c>
      <c r="G35" s="89" t="s">
        <v>12</v>
      </c>
      <c r="H35" s="90">
        <v>10</v>
      </c>
      <c r="I35" s="89" t="s">
        <v>13</v>
      </c>
      <c r="J35" s="99">
        <v>33</v>
      </c>
      <c r="K35" s="100">
        <v>4706.9399999999996</v>
      </c>
      <c r="L35" s="100">
        <v>95</v>
      </c>
      <c r="M35" s="89" t="s">
        <v>68</v>
      </c>
      <c r="N35" s="89" t="s">
        <v>69</v>
      </c>
      <c r="O35" s="88">
        <v>45714</v>
      </c>
      <c r="P35" s="89" t="s">
        <v>131</v>
      </c>
      <c r="Q35" s="89"/>
      <c r="R35" s="90">
        <v>10</v>
      </c>
      <c r="S35" s="89" t="s">
        <v>13</v>
      </c>
      <c r="T35" s="91">
        <v>33</v>
      </c>
      <c r="U35" s="90">
        <v>4706.9399999999996</v>
      </c>
      <c r="V35" s="100">
        <v>95</v>
      </c>
      <c r="W35" s="105">
        <f t="shared" si="5"/>
        <v>0</v>
      </c>
      <c r="X35" s="66">
        <f t="shared" si="5"/>
        <v>0</v>
      </c>
      <c r="Y35" s="66">
        <f t="shared" si="6"/>
        <v>0</v>
      </c>
      <c r="Z35" s="72">
        <f>SUM(H35-R35)</f>
        <v>0</v>
      </c>
    </row>
    <row r="36" spans="1:26" x14ac:dyDescent="0.3">
      <c r="A36" s="64"/>
      <c r="B36" s="25" t="s">
        <v>135</v>
      </c>
      <c r="C36" s="20"/>
      <c r="D36" s="21"/>
      <c r="E36" s="22"/>
      <c r="F36" s="22">
        <v>30049000</v>
      </c>
      <c r="G36" s="22" t="s">
        <v>136</v>
      </c>
      <c r="H36" s="23">
        <v>20</v>
      </c>
      <c r="I36" s="22" t="s">
        <v>13</v>
      </c>
      <c r="J36" s="24">
        <v>49</v>
      </c>
      <c r="K36" s="23">
        <v>43332.38</v>
      </c>
      <c r="L36" s="23">
        <v>867</v>
      </c>
      <c r="M36" s="22"/>
      <c r="N36" s="22"/>
      <c r="O36" s="22"/>
      <c r="P36" s="22"/>
      <c r="Q36" s="22"/>
      <c r="R36" s="23"/>
      <c r="S36" s="22"/>
      <c r="T36" s="24">
        <v>0</v>
      </c>
      <c r="U36" s="23">
        <v>0</v>
      </c>
      <c r="V36" s="23"/>
      <c r="W36" s="133">
        <f t="shared" ref="W36:W43" si="7">J36-T36</f>
        <v>49</v>
      </c>
      <c r="X36" s="72">
        <v>43332.38</v>
      </c>
      <c r="Y36" s="66">
        <f t="shared" si="6"/>
        <v>867</v>
      </c>
      <c r="Z36" s="72">
        <v>20</v>
      </c>
    </row>
    <row r="37" spans="1:26" x14ac:dyDescent="0.3">
      <c r="A37" s="64"/>
      <c r="B37" s="25" t="s">
        <v>137</v>
      </c>
      <c r="C37" s="20"/>
      <c r="D37" s="21"/>
      <c r="E37" s="22"/>
      <c r="F37" s="22">
        <v>30049000</v>
      </c>
      <c r="G37" s="22" t="s">
        <v>90</v>
      </c>
      <c r="H37" s="23">
        <v>20</v>
      </c>
      <c r="I37" s="22" t="s">
        <v>13</v>
      </c>
      <c r="J37" s="24">
        <v>45</v>
      </c>
      <c r="K37" s="23">
        <v>45863.49</v>
      </c>
      <c r="L37" s="23">
        <v>918</v>
      </c>
      <c r="M37" s="22"/>
      <c r="N37" s="22"/>
      <c r="O37" s="22"/>
      <c r="P37" s="22"/>
      <c r="Q37" s="22"/>
      <c r="R37" s="23"/>
      <c r="S37" s="22"/>
      <c r="T37" s="24">
        <v>0</v>
      </c>
      <c r="U37" s="23">
        <v>0</v>
      </c>
      <c r="V37" s="23"/>
      <c r="W37" s="133">
        <f t="shared" si="7"/>
        <v>45</v>
      </c>
      <c r="X37" s="72">
        <v>45863.49</v>
      </c>
      <c r="Y37" s="66">
        <f t="shared" si="6"/>
        <v>918</v>
      </c>
      <c r="Z37" s="72">
        <v>20</v>
      </c>
    </row>
    <row r="38" spans="1:26" x14ac:dyDescent="0.3">
      <c r="A38" s="64"/>
      <c r="B38" s="25" t="s">
        <v>138</v>
      </c>
      <c r="C38" s="20"/>
      <c r="D38" s="21"/>
      <c r="E38" s="22"/>
      <c r="F38" s="22">
        <v>30049000</v>
      </c>
      <c r="G38" s="22" t="s">
        <v>139</v>
      </c>
      <c r="H38" s="23">
        <v>40</v>
      </c>
      <c r="I38" s="22" t="s">
        <v>13</v>
      </c>
      <c r="J38" s="24">
        <v>150</v>
      </c>
      <c r="K38" s="23">
        <v>49792.43</v>
      </c>
      <c r="L38" s="23">
        <v>996</v>
      </c>
      <c r="M38" s="22"/>
      <c r="N38" s="22"/>
      <c r="O38" s="22"/>
      <c r="P38" s="22"/>
      <c r="Q38" s="22"/>
      <c r="R38" s="23"/>
      <c r="S38" s="22"/>
      <c r="T38" s="24">
        <v>0</v>
      </c>
      <c r="U38" s="23">
        <v>0</v>
      </c>
      <c r="V38" s="23"/>
      <c r="W38" s="133">
        <f t="shared" si="7"/>
        <v>150</v>
      </c>
      <c r="X38" s="72">
        <v>49792.43</v>
      </c>
      <c r="Y38" s="66">
        <f t="shared" si="6"/>
        <v>996</v>
      </c>
      <c r="Z38" s="72">
        <v>40</v>
      </c>
    </row>
    <row r="39" spans="1:26" x14ac:dyDescent="0.3">
      <c r="A39" s="64"/>
      <c r="B39" s="25" t="s">
        <v>140</v>
      </c>
      <c r="C39" s="20"/>
      <c r="D39" s="21"/>
      <c r="E39" s="22"/>
      <c r="F39" s="22">
        <v>30049000</v>
      </c>
      <c r="G39" s="22" t="s">
        <v>139</v>
      </c>
      <c r="H39" s="23">
        <v>40</v>
      </c>
      <c r="I39" s="22" t="s">
        <v>13</v>
      </c>
      <c r="J39" s="24">
        <v>161</v>
      </c>
      <c r="K39" s="23">
        <v>36325.14</v>
      </c>
      <c r="L39" s="23">
        <v>727</v>
      </c>
      <c r="M39" s="22" t="s">
        <v>99</v>
      </c>
      <c r="N39" s="22" t="s">
        <v>100</v>
      </c>
      <c r="O39" s="21">
        <v>45946</v>
      </c>
      <c r="P39" s="22" t="s">
        <v>141</v>
      </c>
      <c r="Q39" s="22"/>
      <c r="R39" s="23">
        <v>0.1</v>
      </c>
      <c r="S39" s="22" t="s">
        <v>13</v>
      </c>
      <c r="T39" s="24">
        <v>3</v>
      </c>
      <c r="U39" s="23">
        <f>(T39*K39)/J39</f>
        <v>676.86596273291923</v>
      </c>
      <c r="V39" s="121">
        <f>SUM(T39*L39/J39)</f>
        <v>13.546583850931677</v>
      </c>
      <c r="W39" s="133">
        <f t="shared" si="7"/>
        <v>158</v>
      </c>
      <c r="X39" s="71">
        <f>K39-U39</f>
        <v>35648.274037267081</v>
      </c>
      <c r="Y39" s="66">
        <f t="shared" si="6"/>
        <v>713.45341614906829</v>
      </c>
      <c r="Z39" s="67">
        <f>H39-R39</f>
        <v>39.9</v>
      </c>
    </row>
    <row r="40" spans="1:26" x14ac:dyDescent="0.3">
      <c r="A40" s="64"/>
      <c r="B40" s="25" t="s">
        <v>142</v>
      </c>
      <c r="C40" s="20"/>
      <c r="D40" s="21"/>
      <c r="E40" s="22"/>
      <c r="F40" s="22">
        <v>30049000</v>
      </c>
      <c r="G40" s="22" t="s">
        <v>139</v>
      </c>
      <c r="H40" s="23">
        <v>20</v>
      </c>
      <c r="I40" s="22" t="s">
        <v>13</v>
      </c>
      <c r="J40" s="24">
        <v>75</v>
      </c>
      <c r="K40" s="23">
        <v>217452.86</v>
      </c>
      <c r="L40" s="23">
        <v>4350</v>
      </c>
      <c r="M40" s="22"/>
      <c r="N40" s="22"/>
      <c r="O40" s="22"/>
      <c r="P40" s="22"/>
      <c r="Q40" s="22"/>
      <c r="R40" s="23"/>
      <c r="S40" s="22"/>
      <c r="T40" s="24">
        <v>0</v>
      </c>
      <c r="U40" s="23">
        <v>0</v>
      </c>
      <c r="V40" s="23"/>
      <c r="W40" s="133">
        <f t="shared" si="7"/>
        <v>75</v>
      </c>
      <c r="X40" s="72">
        <v>217452.86</v>
      </c>
      <c r="Y40" s="66">
        <f t="shared" si="6"/>
        <v>4350</v>
      </c>
      <c r="Z40" s="72">
        <v>20</v>
      </c>
    </row>
    <row r="41" spans="1:26" x14ac:dyDescent="0.3">
      <c r="A41" s="64"/>
      <c r="B41" s="25" t="s">
        <v>143</v>
      </c>
      <c r="C41" s="20"/>
      <c r="D41" s="21"/>
      <c r="E41" s="22"/>
      <c r="F41" s="22">
        <v>30049000</v>
      </c>
      <c r="G41" s="22" t="s">
        <v>139</v>
      </c>
      <c r="H41" s="23">
        <v>20</v>
      </c>
      <c r="I41" s="22" t="s">
        <v>13</v>
      </c>
      <c r="J41" s="24">
        <v>70</v>
      </c>
      <c r="K41" s="23">
        <v>295901.87</v>
      </c>
      <c r="L41" s="23">
        <v>5919</v>
      </c>
      <c r="M41" s="22"/>
      <c r="N41" s="22"/>
      <c r="O41" s="22"/>
      <c r="P41" s="22"/>
      <c r="Q41" s="22"/>
      <c r="R41" s="23"/>
      <c r="S41" s="22"/>
      <c r="T41" s="24">
        <v>0</v>
      </c>
      <c r="U41" s="23">
        <v>0</v>
      </c>
      <c r="V41" s="23"/>
      <c r="W41" s="133">
        <f t="shared" si="7"/>
        <v>70</v>
      </c>
      <c r="X41" s="72">
        <v>295901.87</v>
      </c>
      <c r="Y41" s="66">
        <f t="shared" si="6"/>
        <v>5919</v>
      </c>
      <c r="Z41" s="72">
        <v>20</v>
      </c>
    </row>
    <row r="42" spans="1:26" x14ac:dyDescent="0.3">
      <c r="A42" s="64"/>
      <c r="B42" s="26" t="s">
        <v>144</v>
      </c>
      <c r="C42" s="20"/>
      <c r="D42" s="21"/>
      <c r="E42" s="22"/>
      <c r="F42" s="22">
        <v>30049000</v>
      </c>
      <c r="G42" s="22" t="s">
        <v>90</v>
      </c>
      <c r="H42" s="23">
        <v>20</v>
      </c>
      <c r="I42" s="22" t="s">
        <v>13</v>
      </c>
      <c r="J42" s="24">
        <v>332</v>
      </c>
      <c r="K42" s="23">
        <v>18511.37</v>
      </c>
      <c r="L42" s="23">
        <v>371</v>
      </c>
      <c r="M42" s="22"/>
      <c r="N42" s="22"/>
      <c r="O42" s="22"/>
      <c r="P42" s="22"/>
      <c r="Q42" s="22"/>
      <c r="R42" s="23"/>
      <c r="S42" s="22"/>
      <c r="T42" s="24">
        <v>0</v>
      </c>
      <c r="U42" s="23">
        <v>0</v>
      </c>
      <c r="V42" s="23"/>
      <c r="W42" s="133">
        <f t="shared" si="7"/>
        <v>332</v>
      </c>
      <c r="X42" s="72">
        <v>18511.37</v>
      </c>
      <c r="Y42" s="66">
        <f t="shared" si="6"/>
        <v>371</v>
      </c>
      <c r="Z42" s="72">
        <v>20</v>
      </c>
    </row>
    <row r="43" spans="1:26" x14ac:dyDescent="0.3">
      <c r="A43" s="64"/>
      <c r="B43" s="25" t="s">
        <v>145</v>
      </c>
      <c r="C43" s="20"/>
      <c r="D43" s="21"/>
      <c r="E43" s="22"/>
      <c r="F43" s="22">
        <v>30049000</v>
      </c>
      <c r="G43" s="22" t="s">
        <v>146</v>
      </c>
      <c r="H43" s="23">
        <v>30</v>
      </c>
      <c r="I43" s="22" t="s">
        <v>13</v>
      </c>
      <c r="J43" s="24">
        <v>99</v>
      </c>
      <c r="K43" s="23">
        <v>246472.51</v>
      </c>
      <c r="L43" s="23">
        <v>4930</v>
      </c>
      <c r="M43" s="22"/>
      <c r="N43" s="22"/>
      <c r="O43" s="22"/>
      <c r="P43" s="22"/>
      <c r="Q43" s="22"/>
      <c r="R43" s="23"/>
      <c r="S43" s="22"/>
      <c r="T43" s="24">
        <v>0</v>
      </c>
      <c r="U43" s="23">
        <v>0</v>
      </c>
      <c r="V43" s="23"/>
      <c r="W43" s="133">
        <f t="shared" si="7"/>
        <v>99</v>
      </c>
      <c r="X43" s="72">
        <v>246472.51</v>
      </c>
      <c r="Y43" s="66">
        <f t="shared" si="6"/>
        <v>4930</v>
      </c>
      <c r="Z43" s="72">
        <v>30</v>
      </c>
    </row>
    <row r="44" spans="1:26" s="60" customFormat="1" x14ac:dyDescent="0.3">
      <c r="A44" s="113"/>
      <c r="B44" s="93" t="s">
        <v>147</v>
      </c>
      <c r="C44" s="87"/>
      <c r="D44" s="88"/>
      <c r="E44" s="89"/>
      <c r="F44" s="89">
        <v>90258000</v>
      </c>
      <c r="G44" s="89" t="s">
        <v>148</v>
      </c>
      <c r="H44" s="90">
        <v>1</v>
      </c>
      <c r="I44" s="89" t="s">
        <v>5</v>
      </c>
      <c r="J44" s="91">
        <v>1</v>
      </c>
      <c r="K44" s="90">
        <v>1296.67</v>
      </c>
      <c r="L44" s="90">
        <v>234</v>
      </c>
      <c r="M44" s="89" t="s">
        <v>68</v>
      </c>
      <c r="N44" s="89" t="s">
        <v>69</v>
      </c>
      <c r="O44" s="88">
        <v>45714</v>
      </c>
      <c r="P44" s="89" t="s">
        <v>131</v>
      </c>
      <c r="Q44" s="89"/>
      <c r="R44" s="90">
        <v>1</v>
      </c>
      <c r="S44" s="89" t="s">
        <v>5</v>
      </c>
      <c r="T44" s="91">
        <v>1</v>
      </c>
      <c r="U44" s="90">
        <v>1296.67</v>
      </c>
      <c r="V44" s="90">
        <v>234</v>
      </c>
      <c r="W44" s="133">
        <v>0</v>
      </c>
      <c r="X44" s="71">
        <v>0</v>
      </c>
      <c r="Y44" s="66">
        <f t="shared" si="6"/>
        <v>0</v>
      </c>
      <c r="Z44" s="84">
        <v>0</v>
      </c>
    </row>
    <row r="45" spans="1:26" x14ac:dyDescent="0.3">
      <c r="A45" s="1"/>
      <c r="B45" s="10"/>
      <c r="C45" s="11"/>
      <c r="D45" s="11"/>
      <c r="E45" s="11"/>
      <c r="F45" s="11"/>
      <c r="G45" s="11"/>
      <c r="H45" s="12"/>
      <c r="I45" s="11"/>
      <c r="J45" s="13"/>
      <c r="K45" s="12"/>
      <c r="L45" s="12"/>
      <c r="M45" s="11"/>
      <c r="N45" s="11"/>
      <c r="O45" s="11"/>
      <c r="P45" s="11"/>
      <c r="Q45" s="11"/>
      <c r="R45" s="12"/>
      <c r="S45" s="11"/>
      <c r="T45" s="13"/>
      <c r="U45" s="12"/>
      <c r="V45" s="12"/>
      <c r="W45" s="134"/>
      <c r="X45" s="68"/>
      <c r="Y45" s="68"/>
      <c r="Z45" s="81"/>
    </row>
    <row r="46" spans="1:26" x14ac:dyDescent="0.3">
      <c r="A46" s="85" t="s">
        <v>81</v>
      </c>
      <c r="B46" s="94" t="s">
        <v>149</v>
      </c>
      <c r="C46" s="97" t="s">
        <v>150</v>
      </c>
      <c r="D46" s="92">
        <v>45685</v>
      </c>
      <c r="E46" s="97" t="s">
        <v>151</v>
      </c>
      <c r="F46" s="97">
        <v>40151900</v>
      </c>
      <c r="G46" s="97" t="s">
        <v>136</v>
      </c>
      <c r="H46" s="110">
        <v>10</v>
      </c>
      <c r="I46" s="89" t="s">
        <v>13</v>
      </c>
      <c r="J46" s="91">
        <v>44</v>
      </c>
      <c r="K46" s="90">
        <v>17034.75</v>
      </c>
      <c r="L46" s="90">
        <v>5294</v>
      </c>
      <c r="M46" s="89" t="s">
        <v>68</v>
      </c>
      <c r="N46" s="89" t="s">
        <v>69</v>
      </c>
      <c r="O46" s="88">
        <v>45714</v>
      </c>
      <c r="P46" s="89" t="s">
        <v>152</v>
      </c>
      <c r="Q46" s="89"/>
      <c r="R46" s="90">
        <v>10</v>
      </c>
      <c r="S46" s="89" t="s">
        <v>13</v>
      </c>
      <c r="T46" s="91">
        <v>44</v>
      </c>
      <c r="U46" s="90">
        <v>17034.75</v>
      </c>
      <c r="V46" s="90">
        <v>5294</v>
      </c>
      <c r="W46" s="105">
        <v>0</v>
      </c>
      <c r="X46" s="72">
        <v>0</v>
      </c>
      <c r="Y46" s="72">
        <f>L46-V46</f>
        <v>0</v>
      </c>
      <c r="Z46" s="105">
        <v>0</v>
      </c>
    </row>
    <row r="47" spans="1:26" x14ac:dyDescent="0.3">
      <c r="A47" s="85"/>
      <c r="B47" s="94" t="s">
        <v>153</v>
      </c>
      <c r="C47" s="97"/>
      <c r="D47" s="92"/>
      <c r="E47" s="97"/>
      <c r="F47" s="97">
        <v>39262000</v>
      </c>
      <c r="G47" s="97" t="s">
        <v>154</v>
      </c>
      <c r="H47" s="110">
        <v>20</v>
      </c>
      <c r="I47" s="89" t="s">
        <v>13</v>
      </c>
      <c r="J47" s="91">
        <v>110</v>
      </c>
      <c r="K47" s="90">
        <v>29891.23</v>
      </c>
      <c r="L47" s="90">
        <v>14050</v>
      </c>
      <c r="M47" s="89" t="s">
        <v>68</v>
      </c>
      <c r="N47" s="89" t="s">
        <v>69</v>
      </c>
      <c r="O47" s="88">
        <v>45714</v>
      </c>
      <c r="P47" s="89" t="s">
        <v>152</v>
      </c>
      <c r="Q47" s="89"/>
      <c r="R47" s="90">
        <v>20</v>
      </c>
      <c r="S47" s="89" t="s">
        <v>13</v>
      </c>
      <c r="T47" s="91">
        <v>110</v>
      </c>
      <c r="U47" s="90">
        <v>29891.23</v>
      </c>
      <c r="V47" s="90">
        <v>14050</v>
      </c>
      <c r="W47" s="105">
        <v>0</v>
      </c>
      <c r="X47" s="72">
        <v>0</v>
      </c>
      <c r="Y47" s="72">
        <f t="shared" ref="Y47:Y53" si="8">L47-V47</f>
        <v>0</v>
      </c>
      <c r="Z47" s="105">
        <v>0</v>
      </c>
    </row>
    <row r="48" spans="1:26" x14ac:dyDescent="0.3">
      <c r="A48" s="85"/>
      <c r="B48" s="94" t="s">
        <v>155</v>
      </c>
      <c r="C48" s="97"/>
      <c r="D48" s="92"/>
      <c r="E48" s="97"/>
      <c r="F48" s="97">
        <v>63079000</v>
      </c>
      <c r="G48" s="97" t="s">
        <v>154</v>
      </c>
      <c r="H48" s="110">
        <v>10</v>
      </c>
      <c r="I48" s="89" t="s">
        <v>13</v>
      </c>
      <c r="J48" s="91">
        <v>105</v>
      </c>
      <c r="K48" s="90">
        <v>9694.8700000000008</v>
      </c>
      <c r="L48" s="90">
        <v>4558</v>
      </c>
      <c r="M48" s="89" t="s">
        <v>68</v>
      </c>
      <c r="N48" s="89" t="s">
        <v>69</v>
      </c>
      <c r="O48" s="88">
        <v>45714</v>
      </c>
      <c r="P48" s="89" t="s">
        <v>152</v>
      </c>
      <c r="Q48" s="89"/>
      <c r="R48" s="90">
        <v>10</v>
      </c>
      <c r="S48" s="89" t="s">
        <v>13</v>
      </c>
      <c r="T48" s="91">
        <v>105</v>
      </c>
      <c r="U48" s="90">
        <v>9694.8700000000008</v>
      </c>
      <c r="V48" s="90">
        <v>4558</v>
      </c>
      <c r="W48" s="105">
        <v>0</v>
      </c>
      <c r="X48" s="72">
        <v>0</v>
      </c>
      <c r="Y48" s="72">
        <f t="shared" si="8"/>
        <v>0</v>
      </c>
      <c r="Z48" s="105">
        <v>0</v>
      </c>
    </row>
    <row r="49" spans="1:26" x14ac:dyDescent="0.3">
      <c r="A49" s="85"/>
      <c r="B49" s="94" t="s">
        <v>156</v>
      </c>
      <c r="C49" s="97"/>
      <c r="D49" s="92"/>
      <c r="E49" s="97"/>
      <c r="F49" s="97">
        <v>38089410</v>
      </c>
      <c r="G49" s="97" t="s">
        <v>136</v>
      </c>
      <c r="H49" s="110">
        <v>10</v>
      </c>
      <c r="I49" s="89" t="s">
        <v>13</v>
      </c>
      <c r="J49" s="91">
        <v>74</v>
      </c>
      <c r="K49" s="90">
        <v>124713.17</v>
      </c>
      <c r="L49" s="90">
        <v>22450</v>
      </c>
      <c r="M49" s="89" t="s">
        <v>68</v>
      </c>
      <c r="N49" s="89" t="s">
        <v>69</v>
      </c>
      <c r="O49" s="88">
        <v>45714</v>
      </c>
      <c r="P49" s="89" t="s">
        <v>152</v>
      </c>
      <c r="Q49" s="89"/>
      <c r="R49" s="90">
        <v>10</v>
      </c>
      <c r="S49" s="89" t="s">
        <v>13</v>
      </c>
      <c r="T49" s="91">
        <v>74</v>
      </c>
      <c r="U49" s="90">
        <v>124713.17</v>
      </c>
      <c r="V49" s="90">
        <v>22450</v>
      </c>
      <c r="W49" s="105">
        <v>0</v>
      </c>
      <c r="X49" s="72">
        <v>0</v>
      </c>
      <c r="Y49" s="72">
        <f t="shared" si="8"/>
        <v>0</v>
      </c>
      <c r="Z49" s="105">
        <v>0</v>
      </c>
    </row>
    <row r="50" spans="1:26" x14ac:dyDescent="0.3">
      <c r="A50" s="85"/>
      <c r="B50" s="94" t="s">
        <v>157</v>
      </c>
      <c r="C50" s="97"/>
      <c r="D50" s="92"/>
      <c r="E50" s="97"/>
      <c r="F50" s="97">
        <v>44219990</v>
      </c>
      <c r="G50" s="97" t="s">
        <v>154</v>
      </c>
      <c r="H50" s="110">
        <v>10</v>
      </c>
      <c r="I50" s="89" t="s">
        <v>13</v>
      </c>
      <c r="J50" s="91">
        <v>2</v>
      </c>
      <c r="K50" s="90">
        <v>814.39</v>
      </c>
      <c r="L50" s="90">
        <v>384</v>
      </c>
      <c r="M50" s="89" t="s">
        <v>68</v>
      </c>
      <c r="N50" s="89" t="s">
        <v>69</v>
      </c>
      <c r="O50" s="88">
        <v>45714</v>
      </c>
      <c r="P50" s="89" t="s">
        <v>152</v>
      </c>
      <c r="Q50" s="89"/>
      <c r="R50" s="90">
        <v>10</v>
      </c>
      <c r="S50" s="89" t="s">
        <v>13</v>
      </c>
      <c r="T50" s="91">
        <v>2</v>
      </c>
      <c r="U50" s="90">
        <v>814.39</v>
      </c>
      <c r="V50" s="90">
        <v>384</v>
      </c>
      <c r="W50" s="105">
        <v>0</v>
      </c>
      <c r="X50" s="72">
        <v>0</v>
      </c>
      <c r="Y50" s="72">
        <f t="shared" si="8"/>
        <v>0</v>
      </c>
      <c r="Z50" s="105">
        <v>0</v>
      </c>
    </row>
    <row r="51" spans="1:26" x14ac:dyDescent="0.3">
      <c r="A51" s="85"/>
      <c r="B51" s="94" t="s">
        <v>158</v>
      </c>
      <c r="C51" s="97"/>
      <c r="D51" s="92"/>
      <c r="E51" s="97"/>
      <c r="F51" s="97">
        <v>96032100</v>
      </c>
      <c r="G51" s="97" t="s">
        <v>154</v>
      </c>
      <c r="H51" s="110">
        <v>4</v>
      </c>
      <c r="I51" s="97" t="s">
        <v>5</v>
      </c>
      <c r="J51" s="91">
        <v>4</v>
      </c>
      <c r="K51" s="90">
        <v>4982.3100000000004</v>
      </c>
      <c r="L51" s="90">
        <v>2343</v>
      </c>
      <c r="M51" s="89" t="s">
        <v>68</v>
      </c>
      <c r="N51" s="89" t="s">
        <v>69</v>
      </c>
      <c r="O51" s="88">
        <v>45714</v>
      </c>
      <c r="P51" s="89" t="s">
        <v>152</v>
      </c>
      <c r="Q51" s="89"/>
      <c r="R51" s="90">
        <v>4</v>
      </c>
      <c r="S51" s="89" t="s">
        <v>5</v>
      </c>
      <c r="T51" s="91">
        <v>4</v>
      </c>
      <c r="U51" s="90">
        <v>4982.3100000000004</v>
      </c>
      <c r="V51" s="90">
        <v>2343</v>
      </c>
      <c r="W51" s="105">
        <v>0</v>
      </c>
      <c r="X51" s="72">
        <v>0</v>
      </c>
      <c r="Y51" s="72">
        <f t="shared" si="8"/>
        <v>0</v>
      </c>
      <c r="Z51" s="105">
        <v>0</v>
      </c>
    </row>
    <row r="52" spans="1:26" x14ac:dyDescent="0.3">
      <c r="A52" s="85"/>
      <c r="B52" s="94" t="s">
        <v>159</v>
      </c>
      <c r="C52" s="97"/>
      <c r="D52" s="92"/>
      <c r="E52" s="97"/>
      <c r="F52" s="97">
        <v>39262000</v>
      </c>
      <c r="G52" s="97" t="s">
        <v>154</v>
      </c>
      <c r="H52" s="110">
        <v>20</v>
      </c>
      <c r="I52" s="89" t="s">
        <v>13</v>
      </c>
      <c r="J52" s="91">
        <v>76</v>
      </c>
      <c r="K52" s="90">
        <v>123403.41</v>
      </c>
      <c r="L52" s="90">
        <v>58001</v>
      </c>
      <c r="M52" s="89" t="s">
        <v>68</v>
      </c>
      <c r="N52" s="89" t="s">
        <v>69</v>
      </c>
      <c r="O52" s="88">
        <v>45714</v>
      </c>
      <c r="P52" s="89" t="s">
        <v>152</v>
      </c>
      <c r="Q52" s="89"/>
      <c r="R52" s="90">
        <v>20</v>
      </c>
      <c r="S52" s="89" t="s">
        <v>13</v>
      </c>
      <c r="T52" s="91">
        <v>76</v>
      </c>
      <c r="U52" s="90">
        <v>123403.41</v>
      </c>
      <c r="V52" s="90">
        <v>58001</v>
      </c>
      <c r="W52" s="105">
        <v>0</v>
      </c>
      <c r="X52" s="72">
        <v>0</v>
      </c>
      <c r="Y52" s="72">
        <f t="shared" si="8"/>
        <v>0</v>
      </c>
      <c r="Z52" s="105">
        <v>0</v>
      </c>
    </row>
    <row r="53" spans="1:26" x14ac:dyDescent="0.3">
      <c r="A53" s="85"/>
      <c r="B53" s="94" t="s">
        <v>160</v>
      </c>
      <c r="C53" s="97"/>
      <c r="D53" s="92"/>
      <c r="E53" s="97"/>
      <c r="F53" s="97">
        <v>39269090</v>
      </c>
      <c r="G53" s="97" t="s">
        <v>85</v>
      </c>
      <c r="H53" s="110">
        <v>10</v>
      </c>
      <c r="I53" s="89" t="s">
        <v>13</v>
      </c>
      <c r="J53" s="91">
        <v>6</v>
      </c>
      <c r="K53" s="90">
        <v>23746.99</v>
      </c>
      <c r="L53" s="90">
        <v>11162</v>
      </c>
      <c r="M53" s="89" t="s">
        <v>68</v>
      </c>
      <c r="N53" s="89" t="s">
        <v>69</v>
      </c>
      <c r="O53" s="88">
        <v>45714</v>
      </c>
      <c r="P53" s="89" t="s">
        <v>152</v>
      </c>
      <c r="Q53" s="89"/>
      <c r="R53" s="90">
        <v>10</v>
      </c>
      <c r="S53" s="89" t="s">
        <v>13</v>
      </c>
      <c r="T53" s="91">
        <v>6</v>
      </c>
      <c r="U53" s="90">
        <v>23746.99</v>
      </c>
      <c r="V53" s="90">
        <v>11162</v>
      </c>
      <c r="W53" s="105">
        <v>0</v>
      </c>
      <c r="X53" s="72">
        <v>0</v>
      </c>
      <c r="Y53" s="72">
        <f t="shared" si="8"/>
        <v>0</v>
      </c>
      <c r="Z53" s="105">
        <v>0</v>
      </c>
    </row>
    <row r="54" spans="1:26" x14ac:dyDescent="0.3">
      <c r="A54" s="1"/>
      <c r="B54" s="10"/>
      <c r="C54" s="11"/>
      <c r="D54" s="11"/>
      <c r="E54" s="11"/>
      <c r="F54" s="11"/>
      <c r="G54" s="11"/>
      <c r="H54" s="12"/>
      <c r="I54" s="11"/>
      <c r="J54" s="13"/>
      <c r="K54" s="12"/>
      <c r="L54" s="12"/>
      <c r="M54" s="11"/>
      <c r="N54" s="11"/>
      <c r="O54" s="11"/>
      <c r="P54" s="11"/>
      <c r="Q54" s="11"/>
      <c r="R54" s="12"/>
      <c r="S54" s="11"/>
      <c r="T54" s="13"/>
      <c r="U54" s="12"/>
      <c r="V54" s="12"/>
      <c r="W54" s="134"/>
      <c r="X54" s="68"/>
      <c r="Y54" s="68"/>
      <c r="Z54" s="81"/>
    </row>
    <row r="55" spans="1:26" ht="28.8" x14ac:dyDescent="0.3">
      <c r="A55" s="85" t="s">
        <v>161</v>
      </c>
      <c r="B55" s="95" t="s">
        <v>162</v>
      </c>
      <c r="C55" s="97" t="s">
        <v>163</v>
      </c>
      <c r="D55" s="92">
        <v>45691</v>
      </c>
      <c r="E55" s="97" t="s">
        <v>164</v>
      </c>
      <c r="F55" s="97">
        <v>30049000</v>
      </c>
      <c r="G55" s="97" t="s">
        <v>90</v>
      </c>
      <c r="H55" s="110">
        <v>21</v>
      </c>
      <c r="I55" s="97" t="s">
        <v>13</v>
      </c>
      <c r="J55" s="91">
        <v>161</v>
      </c>
      <c r="K55" s="90">
        <v>16435.89</v>
      </c>
      <c r="L55" s="90">
        <v>579</v>
      </c>
      <c r="M55" s="89" t="s">
        <v>99</v>
      </c>
      <c r="N55" s="89" t="s">
        <v>100</v>
      </c>
      <c r="O55" s="88">
        <v>45946</v>
      </c>
      <c r="P55" s="89" t="s">
        <v>165</v>
      </c>
      <c r="Q55" s="89"/>
      <c r="R55" s="90">
        <v>0.1</v>
      </c>
      <c r="S55" s="89" t="s">
        <v>13</v>
      </c>
      <c r="T55" s="91">
        <v>3</v>
      </c>
      <c r="U55" s="90">
        <f>(T55*K55)/J55</f>
        <v>306.2588198757764</v>
      </c>
      <c r="V55" s="90">
        <f>SUM(T55*L55/J55)</f>
        <v>10.788819875776397</v>
      </c>
      <c r="W55" s="79">
        <f>J55-T55-T56</f>
        <v>0</v>
      </c>
      <c r="X55" s="66">
        <f>K55-U55-U56</f>
        <v>0</v>
      </c>
      <c r="Y55" s="66">
        <f>L55-V55-V56</f>
        <v>0</v>
      </c>
      <c r="Z55" s="67">
        <f>H55-R55-R56</f>
        <v>0</v>
      </c>
    </row>
    <row r="56" spans="1:26" x14ac:dyDescent="0.3">
      <c r="A56" s="85"/>
      <c r="B56" s="95"/>
      <c r="C56" s="97"/>
      <c r="D56" s="92"/>
      <c r="E56" s="97"/>
      <c r="F56" s="97"/>
      <c r="G56" s="97"/>
      <c r="H56" s="110"/>
      <c r="I56" s="97"/>
      <c r="J56" s="91"/>
      <c r="K56" s="90"/>
      <c r="L56" s="90"/>
      <c r="M56" s="89" t="s">
        <v>86</v>
      </c>
      <c r="N56" s="89" t="s">
        <v>87</v>
      </c>
      <c r="O56" s="88">
        <v>46157</v>
      </c>
      <c r="P56" s="89" t="s">
        <v>166</v>
      </c>
      <c r="Q56" s="89"/>
      <c r="R56" s="90">
        <v>20.9</v>
      </c>
      <c r="S56" s="89" t="s">
        <v>13</v>
      </c>
      <c r="T56" s="91">
        <v>158</v>
      </c>
      <c r="U56" s="90">
        <f>SUM(T56*K55)/J55</f>
        <v>16129.631180124225</v>
      </c>
      <c r="V56" s="90">
        <f>SUM(T56*L55/J55)</f>
        <v>568.21118012422357</v>
      </c>
      <c r="W56" s="79"/>
      <c r="X56" s="66"/>
      <c r="Y56" s="66"/>
      <c r="Z56" s="67"/>
    </row>
    <row r="57" spans="1:26" x14ac:dyDescent="0.3">
      <c r="A57" s="85"/>
      <c r="B57" s="95" t="s">
        <v>167</v>
      </c>
      <c r="C57" s="97"/>
      <c r="D57" s="92"/>
      <c r="E57" s="97"/>
      <c r="F57" s="97">
        <v>30049000</v>
      </c>
      <c r="G57" s="97" t="s">
        <v>90</v>
      </c>
      <c r="H57" s="110">
        <v>21</v>
      </c>
      <c r="I57" s="97" t="s">
        <v>13</v>
      </c>
      <c r="J57" s="91">
        <v>161</v>
      </c>
      <c r="K57" s="90">
        <v>6572.59</v>
      </c>
      <c r="L57" s="128">
        <v>132</v>
      </c>
      <c r="M57" s="89" t="s">
        <v>99</v>
      </c>
      <c r="N57" s="89" t="s">
        <v>100</v>
      </c>
      <c r="O57" s="88">
        <v>45946</v>
      </c>
      <c r="P57" s="89" t="s">
        <v>165</v>
      </c>
      <c r="Q57" s="89"/>
      <c r="R57" s="90">
        <v>0.1</v>
      </c>
      <c r="S57" s="89" t="s">
        <v>13</v>
      </c>
      <c r="T57" s="91">
        <v>3</v>
      </c>
      <c r="U57" s="90">
        <f>(T57*K57)/J57</f>
        <v>122.47062111801243</v>
      </c>
      <c r="V57" s="90">
        <f>SUM(T57*L57/J57)</f>
        <v>2.4596273291925468</v>
      </c>
      <c r="W57" s="79">
        <f>J57-T57-T58</f>
        <v>0</v>
      </c>
      <c r="X57" s="66">
        <f>K57-U57-U58</f>
        <v>0</v>
      </c>
      <c r="Y57" s="66">
        <f>L57-V57-V58</f>
        <v>0</v>
      </c>
      <c r="Z57" s="67">
        <f>H57-R57-R58</f>
        <v>0</v>
      </c>
    </row>
    <row r="58" spans="1:26" x14ac:dyDescent="0.3">
      <c r="A58" s="85"/>
      <c r="B58" s="95"/>
      <c r="C58" s="97"/>
      <c r="D58" s="92"/>
      <c r="E58" s="97"/>
      <c r="F58" s="97"/>
      <c r="G58" s="97"/>
      <c r="H58" s="110"/>
      <c r="I58" s="97"/>
      <c r="J58" s="91"/>
      <c r="K58" s="90"/>
      <c r="L58" s="128"/>
      <c r="M58" s="89" t="s">
        <v>168</v>
      </c>
      <c r="N58" s="89" t="s">
        <v>169</v>
      </c>
      <c r="O58" s="88">
        <v>46240</v>
      </c>
      <c r="P58" s="89" t="s">
        <v>170</v>
      </c>
      <c r="Q58" s="89"/>
      <c r="R58" s="90">
        <v>20.9</v>
      </c>
      <c r="S58" s="89" t="s">
        <v>13</v>
      </c>
      <c r="T58" s="91">
        <v>158</v>
      </c>
      <c r="U58" s="90">
        <f>(T58*K57)/J57</f>
        <v>6450.1193788819874</v>
      </c>
      <c r="V58" s="90">
        <f>SUM(T58*L57/J57)</f>
        <v>129.54037267080744</v>
      </c>
      <c r="W58" s="79"/>
      <c r="X58" s="66"/>
      <c r="Y58" s="66"/>
      <c r="Z58" s="67"/>
    </row>
    <row r="59" spans="1:26" x14ac:dyDescent="0.3">
      <c r="A59" s="85"/>
      <c r="B59" s="95" t="s">
        <v>171</v>
      </c>
      <c r="C59" s="97"/>
      <c r="D59" s="92"/>
      <c r="E59" s="97"/>
      <c r="F59" s="97">
        <v>30049000</v>
      </c>
      <c r="G59" s="97" t="s">
        <v>90</v>
      </c>
      <c r="H59" s="110">
        <v>21</v>
      </c>
      <c r="I59" s="97" t="s">
        <v>13</v>
      </c>
      <c r="J59" s="91">
        <v>150</v>
      </c>
      <c r="K59" s="90">
        <v>121775.55</v>
      </c>
      <c r="L59" s="128">
        <v>2436</v>
      </c>
      <c r="M59" s="89" t="s">
        <v>86</v>
      </c>
      <c r="N59" s="89" t="s">
        <v>87</v>
      </c>
      <c r="O59" s="88">
        <v>46157</v>
      </c>
      <c r="P59" s="89" t="s">
        <v>166</v>
      </c>
      <c r="Q59" s="89"/>
      <c r="R59" s="90">
        <v>21</v>
      </c>
      <c r="S59" s="89" t="s">
        <v>13</v>
      </c>
      <c r="T59" s="91">
        <v>150</v>
      </c>
      <c r="U59" s="90">
        <v>121775.55</v>
      </c>
      <c r="V59" s="128">
        <v>2436</v>
      </c>
      <c r="W59" s="79">
        <f>SUM(J59-T59)</f>
        <v>0</v>
      </c>
      <c r="X59" s="72">
        <f>SUM(K59-U59)</f>
        <v>0</v>
      </c>
      <c r="Y59" s="72">
        <f>L59-V59</f>
        <v>0</v>
      </c>
      <c r="Z59" s="67">
        <f>SUM(H59-R59)</f>
        <v>0</v>
      </c>
    </row>
    <row r="60" spans="1:26" x14ac:dyDescent="0.3">
      <c r="A60" s="85"/>
      <c r="B60" s="86" t="s">
        <v>172</v>
      </c>
      <c r="C60" s="97"/>
      <c r="D60" s="92"/>
      <c r="E60" s="97"/>
      <c r="F60" s="97">
        <v>30049000</v>
      </c>
      <c r="G60" s="97" t="s">
        <v>90</v>
      </c>
      <c r="H60" s="110">
        <v>21</v>
      </c>
      <c r="I60" s="97" t="s">
        <v>13</v>
      </c>
      <c r="J60" s="91">
        <v>150</v>
      </c>
      <c r="K60" s="90">
        <v>49227.57</v>
      </c>
      <c r="L60" s="90">
        <v>985</v>
      </c>
      <c r="M60" s="89" t="s">
        <v>173</v>
      </c>
      <c r="N60" s="89" t="s">
        <v>174</v>
      </c>
      <c r="O60" s="88">
        <v>45785</v>
      </c>
      <c r="P60" s="89" t="s">
        <v>175</v>
      </c>
      <c r="Q60" s="89"/>
      <c r="R60" s="90">
        <v>0.25</v>
      </c>
      <c r="S60" s="89" t="s">
        <v>13</v>
      </c>
      <c r="T60" s="91">
        <v>3</v>
      </c>
      <c r="U60" s="90">
        <f>(T60*K60)/J60</f>
        <v>984.55139999999994</v>
      </c>
      <c r="V60" s="90">
        <f>SUM(T60*L60/J60)</f>
        <v>19.7</v>
      </c>
      <c r="W60" s="79">
        <v>0</v>
      </c>
      <c r="X60" s="66">
        <v>0</v>
      </c>
      <c r="Y60" s="66">
        <f>L60-V60-V61</f>
        <v>0</v>
      </c>
      <c r="Z60" s="67">
        <v>0</v>
      </c>
    </row>
    <row r="61" spans="1:26" x14ac:dyDescent="0.3">
      <c r="A61" s="85"/>
      <c r="B61" s="86"/>
      <c r="C61" s="97"/>
      <c r="D61" s="92"/>
      <c r="E61" s="97"/>
      <c r="F61" s="97"/>
      <c r="G61" s="97"/>
      <c r="H61" s="110"/>
      <c r="I61" s="97"/>
      <c r="J61" s="91"/>
      <c r="K61" s="90"/>
      <c r="L61" s="90"/>
      <c r="M61" s="89" t="s">
        <v>86</v>
      </c>
      <c r="N61" s="89" t="s">
        <v>87</v>
      </c>
      <c r="O61" s="88">
        <v>46157</v>
      </c>
      <c r="P61" s="89" t="s">
        <v>166</v>
      </c>
      <c r="Q61" s="89"/>
      <c r="R61" s="90">
        <v>20.75</v>
      </c>
      <c r="S61" s="89" t="s">
        <v>13</v>
      </c>
      <c r="T61" s="91">
        <v>147</v>
      </c>
      <c r="U61" s="90">
        <f>SUM(T61*K60)/J60</f>
        <v>48243.018600000003</v>
      </c>
      <c r="V61" s="90">
        <f>SUM(T61*L60/J60)</f>
        <v>965.3</v>
      </c>
      <c r="W61" s="79"/>
      <c r="X61" s="66"/>
      <c r="Y61" s="66"/>
      <c r="Z61" s="67"/>
    </row>
    <row r="62" spans="1:26" x14ac:dyDescent="0.3">
      <c r="A62" s="85"/>
      <c r="B62" s="95" t="s">
        <v>176</v>
      </c>
      <c r="C62" s="97"/>
      <c r="D62" s="92"/>
      <c r="E62" s="97"/>
      <c r="F62" s="97">
        <v>30049000</v>
      </c>
      <c r="G62" s="97" t="s">
        <v>90</v>
      </c>
      <c r="H62" s="110">
        <v>21</v>
      </c>
      <c r="I62" s="97" t="s">
        <v>13</v>
      </c>
      <c r="J62" s="91">
        <v>150</v>
      </c>
      <c r="K62" s="90">
        <v>75828.5</v>
      </c>
      <c r="L62" s="90">
        <v>1517</v>
      </c>
      <c r="M62" s="89" t="s">
        <v>173</v>
      </c>
      <c r="N62" s="89" t="s">
        <v>174</v>
      </c>
      <c r="O62" s="88">
        <v>45785</v>
      </c>
      <c r="P62" s="89" t="s">
        <v>175</v>
      </c>
      <c r="Q62" s="89"/>
      <c r="R62" s="90">
        <v>0.25</v>
      </c>
      <c r="S62" s="89" t="s">
        <v>13</v>
      </c>
      <c r="T62" s="91">
        <v>3</v>
      </c>
      <c r="U62" s="90">
        <f>(T62*K62)/J62</f>
        <v>1516.57</v>
      </c>
      <c r="V62" s="90">
        <f>SUM(T62*L62/J62)</f>
        <v>30.34</v>
      </c>
      <c r="W62" s="79">
        <v>0</v>
      </c>
      <c r="X62" s="66">
        <v>0</v>
      </c>
      <c r="Y62" s="66">
        <f>L62-V62-V63</f>
        <v>0</v>
      </c>
      <c r="Z62" s="67">
        <v>0</v>
      </c>
    </row>
    <row r="63" spans="1:26" x14ac:dyDescent="0.3">
      <c r="A63" s="85"/>
      <c r="B63" s="95"/>
      <c r="C63" s="97"/>
      <c r="D63" s="92"/>
      <c r="E63" s="97"/>
      <c r="F63" s="97"/>
      <c r="G63" s="97"/>
      <c r="H63" s="110"/>
      <c r="I63" s="97"/>
      <c r="J63" s="91"/>
      <c r="K63" s="90"/>
      <c r="L63" s="90"/>
      <c r="M63" s="89" t="s">
        <v>86</v>
      </c>
      <c r="N63" s="89" t="s">
        <v>87</v>
      </c>
      <c r="O63" s="88">
        <v>46157</v>
      </c>
      <c r="P63" s="89" t="s">
        <v>166</v>
      </c>
      <c r="Q63" s="89"/>
      <c r="R63" s="90">
        <v>20.75</v>
      </c>
      <c r="S63" s="89" t="s">
        <v>13</v>
      </c>
      <c r="T63" s="91">
        <v>147</v>
      </c>
      <c r="U63" s="90">
        <f>SUM(T63*K62)/J62</f>
        <v>74311.929999999993</v>
      </c>
      <c r="V63" s="90">
        <f>SUM(T63*L62/J62)</f>
        <v>1486.66</v>
      </c>
      <c r="W63" s="79"/>
      <c r="X63" s="66"/>
      <c r="Y63" s="66"/>
      <c r="Z63" s="67"/>
    </row>
    <row r="64" spans="1:26" x14ac:dyDescent="0.3">
      <c r="A64" s="64"/>
      <c r="B64" s="19" t="s">
        <v>177</v>
      </c>
      <c r="C64" s="20"/>
      <c r="D64" s="27"/>
      <c r="E64" s="20"/>
      <c r="F64" s="20">
        <v>30049000</v>
      </c>
      <c r="G64" s="20" t="s">
        <v>90</v>
      </c>
      <c r="H64" s="28">
        <v>32</v>
      </c>
      <c r="I64" s="20" t="s">
        <v>13</v>
      </c>
      <c r="J64" s="24">
        <v>150</v>
      </c>
      <c r="K64" s="23">
        <v>140364.20000000001</v>
      </c>
      <c r="L64" s="127">
        <v>2808</v>
      </c>
      <c r="M64" s="22" t="s">
        <v>103</v>
      </c>
      <c r="N64" s="22" t="s">
        <v>178</v>
      </c>
      <c r="O64" s="16">
        <v>45848</v>
      </c>
      <c r="P64" s="22" t="s">
        <v>179</v>
      </c>
      <c r="Q64" s="22"/>
      <c r="R64" s="23">
        <v>0.6</v>
      </c>
      <c r="S64" s="22" t="s">
        <v>13</v>
      </c>
      <c r="T64" s="24">
        <v>1</v>
      </c>
      <c r="U64" s="23">
        <f>(T64*K64)/J64</f>
        <v>935.76133333333337</v>
      </c>
      <c r="V64" s="121">
        <f>SUM(T64*L64/J64)</f>
        <v>18.72</v>
      </c>
      <c r="W64" s="79">
        <f>J64-T64</f>
        <v>149</v>
      </c>
      <c r="X64" s="66">
        <f>K64-U64</f>
        <v>139428.43866666668</v>
      </c>
      <c r="Y64" s="66">
        <f>L64-V64</f>
        <v>2789.28</v>
      </c>
      <c r="Z64" s="67">
        <f>H64-R64</f>
        <v>31.4</v>
      </c>
    </row>
    <row r="65" spans="1:26" x14ac:dyDescent="0.3">
      <c r="A65" s="1"/>
      <c r="B65" s="10"/>
      <c r="C65" s="11"/>
      <c r="D65" s="11"/>
      <c r="E65" s="11"/>
      <c r="F65" s="11"/>
      <c r="G65" s="11"/>
      <c r="H65" s="12"/>
      <c r="I65" s="11"/>
      <c r="J65" s="13"/>
      <c r="K65" s="12"/>
      <c r="L65" s="12"/>
      <c r="M65" s="11"/>
      <c r="N65" s="11"/>
      <c r="O65" s="11"/>
      <c r="P65" s="11"/>
      <c r="Q65" s="11"/>
      <c r="R65" s="12"/>
      <c r="S65" s="11"/>
      <c r="T65" s="13"/>
      <c r="U65" s="12"/>
      <c r="V65" s="12"/>
      <c r="W65" s="134"/>
      <c r="X65" s="68"/>
      <c r="Y65" s="68"/>
      <c r="Z65" s="81"/>
    </row>
    <row r="66" spans="1:26" x14ac:dyDescent="0.3">
      <c r="A66" s="85" t="s">
        <v>180</v>
      </c>
      <c r="B66" s="94" t="s">
        <v>181</v>
      </c>
      <c r="C66" s="97" t="s">
        <v>182</v>
      </c>
      <c r="D66" s="88">
        <v>45734</v>
      </c>
      <c r="E66" s="89" t="s">
        <v>183</v>
      </c>
      <c r="F66" s="89">
        <v>90328900</v>
      </c>
      <c r="G66" s="89" t="s">
        <v>184</v>
      </c>
      <c r="H66" s="90">
        <v>1</v>
      </c>
      <c r="I66" s="89" t="s">
        <v>5</v>
      </c>
      <c r="J66" s="91">
        <v>1</v>
      </c>
      <c r="K66" s="90">
        <v>678781.61</v>
      </c>
      <c r="L66" s="90">
        <v>122432</v>
      </c>
      <c r="M66" s="89" t="s">
        <v>185</v>
      </c>
      <c r="N66" s="89" t="s">
        <v>186</v>
      </c>
      <c r="O66" s="88">
        <v>45756</v>
      </c>
      <c r="P66" s="89" t="s">
        <v>187</v>
      </c>
      <c r="Q66" s="89"/>
      <c r="R66" s="90">
        <v>1</v>
      </c>
      <c r="S66" s="89" t="s">
        <v>5</v>
      </c>
      <c r="T66" s="91">
        <v>1</v>
      </c>
      <c r="U66" s="90">
        <v>678781.61</v>
      </c>
      <c r="V66" s="90">
        <v>122432</v>
      </c>
      <c r="W66" s="105">
        <v>0</v>
      </c>
      <c r="X66" s="72">
        <v>0</v>
      </c>
      <c r="Y66" s="72">
        <f>L66-V66</f>
        <v>0</v>
      </c>
      <c r="Z66" s="105">
        <v>0</v>
      </c>
    </row>
    <row r="67" spans="1:26" x14ac:dyDescent="0.3">
      <c r="A67" s="85"/>
      <c r="B67" s="94" t="s">
        <v>188</v>
      </c>
      <c r="C67" s="97"/>
      <c r="D67" s="88"/>
      <c r="E67" s="89"/>
      <c r="F67" s="89">
        <v>84849000</v>
      </c>
      <c r="G67" s="89" t="s">
        <v>184</v>
      </c>
      <c r="H67" s="90">
        <v>6</v>
      </c>
      <c r="I67" s="89" t="s">
        <v>13</v>
      </c>
      <c r="J67" s="91">
        <v>1</v>
      </c>
      <c r="K67" s="90">
        <v>24779.68</v>
      </c>
      <c r="L67" s="90">
        <v>7336</v>
      </c>
      <c r="M67" s="89" t="s">
        <v>185</v>
      </c>
      <c r="N67" s="89" t="s">
        <v>186</v>
      </c>
      <c r="O67" s="88">
        <v>45756</v>
      </c>
      <c r="P67" s="89" t="s">
        <v>187</v>
      </c>
      <c r="Q67" s="89"/>
      <c r="R67" s="90">
        <v>6</v>
      </c>
      <c r="S67" s="89" t="s">
        <v>13</v>
      </c>
      <c r="T67" s="91">
        <v>1</v>
      </c>
      <c r="U67" s="90">
        <v>24779.68</v>
      </c>
      <c r="V67" s="90">
        <v>7336</v>
      </c>
      <c r="W67" s="105">
        <v>0</v>
      </c>
      <c r="X67" s="72">
        <v>0</v>
      </c>
      <c r="Y67" s="72">
        <f t="shared" ref="Y67:Y74" si="9">L67-V67</f>
        <v>0</v>
      </c>
      <c r="Z67" s="105">
        <v>0</v>
      </c>
    </row>
    <row r="68" spans="1:26" x14ac:dyDescent="0.3">
      <c r="A68" s="85"/>
      <c r="B68" s="95" t="s">
        <v>189</v>
      </c>
      <c r="C68" s="97"/>
      <c r="D68" s="88"/>
      <c r="E68" s="89"/>
      <c r="F68" s="89">
        <v>84186990</v>
      </c>
      <c r="G68" s="89" t="s">
        <v>184</v>
      </c>
      <c r="H68" s="90">
        <v>6</v>
      </c>
      <c r="I68" s="89" t="s">
        <v>13</v>
      </c>
      <c r="J68" s="91">
        <v>1</v>
      </c>
      <c r="K68" s="90">
        <v>127401.29</v>
      </c>
      <c r="L68" s="90">
        <v>59881</v>
      </c>
      <c r="M68" s="89" t="s">
        <v>185</v>
      </c>
      <c r="N68" s="89" t="s">
        <v>186</v>
      </c>
      <c r="O68" s="88">
        <v>45756</v>
      </c>
      <c r="P68" s="89" t="s">
        <v>187</v>
      </c>
      <c r="Q68" s="89"/>
      <c r="R68" s="90">
        <v>6</v>
      </c>
      <c r="S68" s="89" t="s">
        <v>13</v>
      </c>
      <c r="T68" s="91">
        <v>1</v>
      </c>
      <c r="U68" s="90">
        <v>127401.29</v>
      </c>
      <c r="V68" s="90">
        <v>59881</v>
      </c>
      <c r="W68" s="105">
        <v>0</v>
      </c>
      <c r="X68" s="72">
        <v>0</v>
      </c>
      <c r="Y68" s="72">
        <f t="shared" si="9"/>
        <v>0</v>
      </c>
      <c r="Z68" s="105">
        <v>0</v>
      </c>
    </row>
    <row r="69" spans="1:26" x14ac:dyDescent="0.3">
      <c r="A69" s="85"/>
      <c r="B69" s="95" t="s">
        <v>190</v>
      </c>
      <c r="C69" s="97"/>
      <c r="D69" s="88"/>
      <c r="E69" s="89"/>
      <c r="F69" s="89">
        <v>84189900</v>
      </c>
      <c r="G69" s="89" t="s">
        <v>184</v>
      </c>
      <c r="H69" s="90">
        <v>6</v>
      </c>
      <c r="I69" s="89" t="s">
        <v>13</v>
      </c>
      <c r="J69" s="91">
        <v>1</v>
      </c>
      <c r="K69" s="90">
        <v>4929.99</v>
      </c>
      <c r="L69" s="90">
        <v>1460</v>
      </c>
      <c r="M69" s="89" t="s">
        <v>185</v>
      </c>
      <c r="N69" s="89" t="s">
        <v>186</v>
      </c>
      <c r="O69" s="88">
        <v>45756</v>
      </c>
      <c r="P69" s="89" t="s">
        <v>187</v>
      </c>
      <c r="Q69" s="89"/>
      <c r="R69" s="90">
        <v>6</v>
      </c>
      <c r="S69" s="89" t="s">
        <v>13</v>
      </c>
      <c r="T69" s="91">
        <v>1</v>
      </c>
      <c r="U69" s="90">
        <v>4929.99</v>
      </c>
      <c r="V69" s="90">
        <v>1460</v>
      </c>
      <c r="W69" s="105">
        <v>0</v>
      </c>
      <c r="X69" s="72">
        <v>0</v>
      </c>
      <c r="Y69" s="72">
        <f t="shared" si="9"/>
        <v>0</v>
      </c>
      <c r="Z69" s="105">
        <v>0</v>
      </c>
    </row>
    <row r="70" spans="1:26" x14ac:dyDescent="0.3">
      <c r="A70" s="85"/>
      <c r="B70" s="94" t="s">
        <v>191</v>
      </c>
      <c r="C70" s="97"/>
      <c r="D70" s="88"/>
      <c r="E70" s="89"/>
      <c r="F70" s="89">
        <v>90328900</v>
      </c>
      <c r="G70" s="89" t="s">
        <v>184</v>
      </c>
      <c r="H70" s="90">
        <v>1</v>
      </c>
      <c r="I70" s="89" t="s">
        <v>5</v>
      </c>
      <c r="J70" s="91">
        <v>1</v>
      </c>
      <c r="K70" s="90">
        <v>141672.31</v>
      </c>
      <c r="L70" s="90">
        <v>25502</v>
      </c>
      <c r="M70" s="89" t="s">
        <v>185</v>
      </c>
      <c r="N70" s="89" t="s">
        <v>186</v>
      </c>
      <c r="O70" s="88">
        <v>45756</v>
      </c>
      <c r="P70" s="89" t="s">
        <v>187</v>
      </c>
      <c r="Q70" s="89"/>
      <c r="R70" s="90">
        <v>1</v>
      </c>
      <c r="S70" s="89" t="s">
        <v>5</v>
      </c>
      <c r="T70" s="91">
        <v>1</v>
      </c>
      <c r="U70" s="90">
        <v>141672.31</v>
      </c>
      <c r="V70" s="90">
        <v>25502</v>
      </c>
      <c r="W70" s="105">
        <v>0</v>
      </c>
      <c r="X70" s="72">
        <v>0</v>
      </c>
      <c r="Y70" s="72">
        <f t="shared" si="9"/>
        <v>0</v>
      </c>
      <c r="Z70" s="105">
        <v>0</v>
      </c>
    </row>
    <row r="71" spans="1:26" x14ac:dyDescent="0.3">
      <c r="A71" s="85"/>
      <c r="B71" s="95" t="s">
        <v>192</v>
      </c>
      <c r="C71" s="97"/>
      <c r="D71" s="88"/>
      <c r="E71" s="89"/>
      <c r="F71" s="89">
        <v>90329000</v>
      </c>
      <c r="G71" s="89" t="s">
        <v>184</v>
      </c>
      <c r="H71" s="90">
        <v>6</v>
      </c>
      <c r="I71" s="89" t="s">
        <v>13</v>
      </c>
      <c r="J71" s="91">
        <v>1</v>
      </c>
      <c r="K71" s="90">
        <v>8692.35</v>
      </c>
      <c r="L71" s="90">
        <v>1565</v>
      </c>
      <c r="M71" s="89" t="s">
        <v>185</v>
      </c>
      <c r="N71" s="89" t="s">
        <v>186</v>
      </c>
      <c r="O71" s="88">
        <v>45756</v>
      </c>
      <c r="P71" s="89" t="s">
        <v>187</v>
      </c>
      <c r="Q71" s="89"/>
      <c r="R71" s="90">
        <v>6</v>
      </c>
      <c r="S71" s="89" t="s">
        <v>13</v>
      </c>
      <c r="T71" s="91">
        <v>1</v>
      </c>
      <c r="U71" s="90">
        <v>8692.35</v>
      </c>
      <c r="V71" s="90">
        <v>1565</v>
      </c>
      <c r="W71" s="105">
        <v>0</v>
      </c>
      <c r="X71" s="72">
        <v>0</v>
      </c>
      <c r="Y71" s="72">
        <f t="shared" si="9"/>
        <v>0</v>
      </c>
      <c r="Z71" s="105">
        <v>0</v>
      </c>
    </row>
    <row r="72" spans="1:26" x14ac:dyDescent="0.3">
      <c r="A72" s="85"/>
      <c r="B72" s="95" t="s">
        <v>193</v>
      </c>
      <c r="C72" s="97"/>
      <c r="D72" s="88"/>
      <c r="E72" s="89"/>
      <c r="F72" s="89">
        <v>73102990</v>
      </c>
      <c r="G72" s="89" t="s">
        <v>184</v>
      </c>
      <c r="H72" s="90">
        <v>5</v>
      </c>
      <c r="I72" s="89" t="s">
        <v>13</v>
      </c>
      <c r="J72" s="91">
        <v>2</v>
      </c>
      <c r="K72" s="90">
        <v>440472.44</v>
      </c>
      <c r="L72" s="90">
        <v>207024</v>
      </c>
      <c r="M72" s="89" t="s">
        <v>185</v>
      </c>
      <c r="N72" s="89" t="s">
        <v>186</v>
      </c>
      <c r="O72" s="88">
        <v>45756</v>
      </c>
      <c r="P72" s="89" t="s">
        <v>187</v>
      </c>
      <c r="Q72" s="89"/>
      <c r="R72" s="90">
        <v>5</v>
      </c>
      <c r="S72" s="89" t="s">
        <v>13</v>
      </c>
      <c r="T72" s="91">
        <v>2</v>
      </c>
      <c r="U72" s="90">
        <v>440472.44</v>
      </c>
      <c r="V72" s="90">
        <v>207024</v>
      </c>
      <c r="W72" s="105">
        <v>0</v>
      </c>
      <c r="X72" s="72">
        <v>0</v>
      </c>
      <c r="Y72" s="72">
        <f t="shared" si="9"/>
        <v>0</v>
      </c>
      <c r="Z72" s="105">
        <v>0</v>
      </c>
    </row>
    <row r="73" spans="1:26" x14ac:dyDescent="0.3">
      <c r="A73" s="85"/>
      <c r="B73" s="95" t="s">
        <v>194</v>
      </c>
      <c r="C73" s="97"/>
      <c r="D73" s="88"/>
      <c r="E73" s="89"/>
      <c r="F73" s="89">
        <v>90329000</v>
      </c>
      <c r="G73" s="89" t="s">
        <v>184</v>
      </c>
      <c r="H73" s="90">
        <v>5</v>
      </c>
      <c r="I73" s="89" t="s">
        <v>13</v>
      </c>
      <c r="J73" s="91">
        <v>2</v>
      </c>
      <c r="K73" s="90">
        <v>32434.14</v>
      </c>
      <c r="L73" s="90">
        <v>5839</v>
      </c>
      <c r="M73" s="89" t="s">
        <v>185</v>
      </c>
      <c r="N73" s="89" t="s">
        <v>186</v>
      </c>
      <c r="O73" s="88">
        <v>45756</v>
      </c>
      <c r="P73" s="89" t="s">
        <v>187</v>
      </c>
      <c r="Q73" s="89"/>
      <c r="R73" s="90">
        <v>5</v>
      </c>
      <c r="S73" s="89" t="s">
        <v>13</v>
      </c>
      <c r="T73" s="91">
        <v>2</v>
      </c>
      <c r="U73" s="90">
        <v>32434.14</v>
      </c>
      <c r="V73" s="90">
        <v>5839</v>
      </c>
      <c r="W73" s="105">
        <v>0</v>
      </c>
      <c r="X73" s="72">
        <v>0</v>
      </c>
      <c r="Y73" s="72">
        <f t="shared" si="9"/>
        <v>0</v>
      </c>
      <c r="Z73" s="105">
        <v>0</v>
      </c>
    </row>
    <row r="74" spans="1:26" x14ac:dyDescent="0.3">
      <c r="A74" s="85"/>
      <c r="B74" s="95" t="s">
        <v>195</v>
      </c>
      <c r="C74" s="97"/>
      <c r="D74" s="88"/>
      <c r="E74" s="89"/>
      <c r="F74" s="89">
        <v>90328900</v>
      </c>
      <c r="G74" s="89" t="s">
        <v>184</v>
      </c>
      <c r="H74" s="90">
        <v>1</v>
      </c>
      <c r="I74" s="89" t="s">
        <v>5</v>
      </c>
      <c r="J74" s="91">
        <v>1</v>
      </c>
      <c r="K74" s="90">
        <v>72036.22</v>
      </c>
      <c r="L74" s="90">
        <v>12967</v>
      </c>
      <c r="M74" s="89" t="s">
        <v>185</v>
      </c>
      <c r="N74" s="89" t="s">
        <v>186</v>
      </c>
      <c r="O74" s="88">
        <v>45756</v>
      </c>
      <c r="P74" s="89" t="s">
        <v>187</v>
      </c>
      <c r="Q74" s="89"/>
      <c r="R74" s="90">
        <v>1</v>
      </c>
      <c r="S74" s="89" t="s">
        <v>5</v>
      </c>
      <c r="T74" s="91">
        <v>1</v>
      </c>
      <c r="U74" s="90">
        <v>72036.22</v>
      </c>
      <c r="V74" s="90">
        <v>12967</v>
      </c>
      <c r="W74" s="105">
        <v>0</v>
      </c>
      <c r="X74" s="72">
        <v>0</v>
      </c>
      <c r="Y74" s="72">
        <f t="shared" si="9"/>
        <v>0</v>
      </c>
      <c r="Z74" s="105">
        <v>0</v>
      </c>
    </row>
    <row r="75" spans="1:26" x14ac:dyDescent="0.3">
      <c r="A75" s="1"/>
      <c r="B75" s="10"/>
      <c r="C75" s="11"/>
      <c r="D75" s="11"/>
      <c r="E75" s="11"/>
      <c r="F75" s="11"/>
      <c r="G75" s="11"/>
      <c r="H75" s="12"/>
      <c r="I75" s="11"/>
      <c r="J75" s="13"/>
      <c r="K75" s="12"/>
      <c r="L75" s="12"/>
      <c r="M75" s="11"/>
      <c r="N75" s="11"/>
      <c r="O75" s="11"/>
      <c r="P75" s="11"/>
      <c r="Q75" s="11"/>
      <c r="R75" s="12"/>
      <c r="S75" s="11"/>
      <c r="T75" s="13"/>
      <c r="U75" s="12"/>
      <c r="V75" s="12"/>
      <c r="W75" s="134"/>
      <c r="X75" s="68"/>
      <c r="Y75" s="68"/>
      <c r="Z75" s="81"/>
    </row>
    <row r="76" spans="1:26" x14ac:dyDescent="0.3">
      <c r="A76" s="85" t="s">
        <v>81</v>
      </c>
      <c r="B76" s="95" t="s">
        <v>196</v>
      </c>
      <c r="C76" s="97" t="s">
        <v>197</v>
      </c>
      <c r="D76" s="92">
        <v>45786</v>
      </c>
      <c r="E76" s="89" t="s">
        <v>198</v>
      </c>
      <c r="F76" s="89">
        <v>30049000</v>
      </c>
      <c r="G76" s="89" t="s">
        <v>146</v>
      </c>
      <c r="H76" s="90">
        <v>70.39</v>
      </c>
      <c r="I76" s="89" t="s">
        <v>13</v>
      </c>
      <c r="J76" s="91">
        <v>1000</v>
      </c>
      <c r="K76" s="90">
        <v>265958.39</v>
      </c>
      <c r="L76" s="90">
        <v>5570</v>
      </c>
      <c r="M76" s="89" t="s">
        <v>168</v>
      </c>
      <c r="N76" s="89" t="s">
        <v>169</v>
      </c>
      <c r="O76" s="88">
        <v>46240</v>
      </c>
      <c r="P76" s="89" t="s">
        <v>199</v>
      </c>
      <c r="Q76" s="89"/>
      <c r="R76" s="90">
        <v>70.39</v>
      </c>
      <c r="S76" s="89" t="s">
        <v>13</v>
      </c>
      <c r="T76" s="91">
        <v>1000</v>
      </c>
      <c r="U76" s="90">
        <v>265958.39</v>
      </c>
      <c r="V76" s="90">
        <v>5570</v>
      </c>
      <c r="W76" s="79">
        <f>J76-T76</f>
        <v>0</v>
      </c>
      <c r="X76" s="66">
        <f>K76-U76</f>
        <v>0</v>
      </c>
      <c r="Y76" s="66">
        <f t="shared" ref="Y76" si="10">L76-V76</f>
        <v>0</v>
      </c>
      <c r="Z76" s="67">
        <f>H76-R76</f>
        <v>0</v>
      </c>
    </row>
    <row r="77" spans="1:26" x14ac:dyDescent="0.3">
      <c r="A77" s="64"/>
      <c r="B77" s="17" t="s">
        <v>200</v>
      </c>
      <c r="C77" s="18"/>
      <c r="D77" s="30"/>
      <c r="E77" s="11"/>
      <c r="F77" s="11">
        <v>30049000</v>
      </c>
      <c r="G77" s="11" t="s">
        <v>146</v>
      </c>
      <c r="H77" s="12">
        <v>41</v>
      </c>
      <c r="I77" s="11" t="s">
        <v>13</v>
      </c>
      <c r="J77" s="13">
        <v>1000</v>
      </c>
      <c r="K77" s="12">
        <v>154385.60000000001</v>
      </c>
      <c r="L77" s="12">
        <v>3088</v>
      </c>
      <c r="M77" s="11" t="s">
        <v>201</v>
      </c>
      <c r="N77" s="11" t="s">
        <v>202</v>
      </c>
      <c r="O77" s="16">
        <v>46220</v>
      </c>
      <c r="P77" s="11" t="s">
        <v>203</v>
      </c>
      <c r="Q77" s="11"/>
      <c r="R77" s="12">
        <v>8.9</v>
      </c>
      <c r="S77" s="11" t="s">
        <v>13</v>
      </c>
      <c r="T77" s="13">
        <v>200</v>
      </c>
      <c r="U77" s="12">
        <f>(K77*T77)/J77</f>
        <v>30877.119999999999</v>
      </c>
      <c r="V77" s="12">
        <f>(T77*L77)/J77</f>
        <v>617.6</v>
      </c>
      <c r="W77" s="79">
        <f>J77-T77-T78</f>
        <v>570</v>
      </c>
      <c r="X77" s="66">
        <f>K77-U77-U78</f>
        <v>87999.792000000016</v>
      </c>
      <c r="Y77" s="66">
        <f>L77-V77-V78</f>
        <v>1760.16</v>
      </c>
      <c r="Z77" s="67">
        <f>H77-R77-R78</f>
        <v>22.67</v>
      </c>
    </row>
    <row r="78" spans="1:26" x14ac:dyDescent="0.3">
      <c r="A78" s="64"/>
      <c r="B78" s="17"/>
      <c r="C78" s="18"/>
      <c r="D78" s="30"/>
      <c r="E78" s="11"/>
      <c r="F78" s="11"/>
      <c r="G78" s="11"/>
      <c r="H78" s="12"/>
      <c r="I78" s="11"/>
      <c r="J78" s="13"/>
      <c r="K78" s="12"/>
      <c r="L78" s="12"/>
      <c r="M78" s="11" t="s">
        <v>204</v>
      </c>
      <c r="N78" s="11" t="s">
        <v>205</v>
      </c>
      <c r="O78" s="16">
        <v>46212</v>
      </c>
      <c r="P78" s="11" t="s">
        <v>206</v>
      </c>
      <c r="Q78" s="11"/>
      <c r="R78" s="12">
        <v>9.43</v>
      </c>
      <c r="S78" s="11" t="s">
        <v>13</v>
      </c>
      <c r="T78" s="13">
        <v>230</v>
      </c>
      <c r="U78" s="12">
        <f>(K77*T78)/1000</f>
        <v>35508.688000000002</v>
      </c>
      <c r="V78" s="12">
        <f>(T78*L77)/J77</f>
        <v>710.24</v>
      </c>
      <c r="W78" s="79"/>
      <c r="X78" s="66"/>
      <c r="Y78" s="66"/>
      <c r="Z78" s="67"/>
    </row>
    <row r="79" spans="1:26" x14ac:dyDescent="0.3">
      <c r="A79" s="64"/>
      <c r="B79" s="17" t="s">
        <v>207</v>
      </c>
      <c r="C79" s="18"/>
      <c r="D79" s="30"/>
      <c r="E79" s="11"/>
      <c r="F79" s="11">
        <v>30049000</v>
      </c>
      <c r="G79" s="11" t="s">
        <v>146</v>
      </c>
      <c r="H79" s="12">
        <v>3</v>
      </c>
      <c r="I79" s="11" t="s">
        <v>13</v>
      </c>
      <c r="J79" s="13">
        <v>150</v>
      </c>
      <c r="K79" s="12">
        <v>147120.4</v>
      </c>
      <c r="L79" s="12">
        <v>2943</v>
      </c>
      <c r="M79" s="11"/>
      <c r="N79" s="11"/>
      <c r="O79" s="11"/>
      <c r="P79" s="11"/>
      <c r="Q79" s="11"/>
      <c r="R79" s="12"/>
      <c r="S79" s="11"/>
      <c r="T79" s="13"/>
      <c r="U79" s="12"/>
      <c r="V79" s="12"/>
      <c r="W79" s="79">
        <f>J79-T79</f>
        <v>150</v>
      </c>
      <c r="X79" s="72">
        <v>147120.4</v>
      </c>
      <c r="Y79" s="72">
        <f t="shared" ref="Y79:Y80" si="11">L79-V79</f>
        <v>2943</v>
      </c>
      <c r="Z79" s="72">
        <v>3</v>
      </c>
    </row>
    <row r="80" spans="1:26" x14ac:dyDescent="0.3">
      <c r="A80" s="64"/>
      <c r="B80" s="17" t="s">
        <v>208</v>
      </c>
      <c r="C80" s="18"/>
      <c r="D80" s="30"/>
      <c r="E80" s="11"/>
      <c r="F80" s="11">
        <v>30049000</v>
      </c>
      <c r="G80" s="11" t="s">
        <v>146</v>
      </c>
      <c r="H80" s="12">
        <v>3.61</v>
      </c>
      <c r="I80" s="11" t="s">
        <v>13</v>
      </c>
      <c r="J80" s="13">
        <v>86</v>
      </c>
      <c r="K80" s="12">
        <v>80109.27</v>
      </c>
      <c r="L80" s="12">
        <v>1603</v>
      </c>
      <c r="M80" s="11"/>
      <c r="N80" s="11"/>
      <c r="O80" s="11"/>
      <c r="P80" s="11"/>
      <c r="Q80" s="11"/>
      <c r="R80" s="12"/>
      <c r="S80" s="11"/>
      <c r="T80" s="13"/>
      <c r="U80" s="12"/>
      <c r="V80" s="12"/>
      <c r="W80" s="79">
        <f>J80-T80</f>
        <v>86</v>
      </c>
      <c r="X80" s="72">
        <v>80109.27</v>
      </c>
      <c r="Y80" s="72">
        <f t="shared" si="11"/>
        <v>1603</v>
      </c>
      <c r="Z80" s="72">
        <v>3.61</v>
      </c>
    </row>
    <row r="81" spans="1:26" x14ac:dyDescent="0.3">
      <c r="A81" s="1"/>
      <c r="B81" s="10"/>
      <c r="C81" s="11"/>
      <c r="D81" s="11"/>
      <c r="E81" s="11"/>
      <c r="F81" s="11"/>
      <c r="G81" s="11"/>
      <c r="H81" s="12"/>
      <c r="I81" s="11"/>
      <c r="J81" s="13"/>
      <c r="K81" s="12"/>
      <c r="L81" s="12"/>
      <c r="M81" s="11"/>
      <c r="N81" s="11"/>
      <c r="O81" s="11"/>
      <c r="P81" s="11"/>
      <c r="Q81" s="11"/>
      <c r="R81" s="12"/>
      <c r="S81" s="11"/>
      <c r="T81" s="13"/>
      <c r="U81" s="12"/>
      <c r="V81" s="12"/>
      <c r="W81" s="134"/>
      <c r="X81" s="68"/>
      <c r="Y81" s="68"/>
      <c r="Z81" s="81"/>
    </row>
    <row r="82" spans="1:26" x14ac:dyDescent="0.3">
      <c r="A82" s="106" t="s">
        <v>209</v>
      </c>
      <c r="B82" s="94" t="s">
        <v>210</v>
      </c>
      <c r="C82" s="97" t="s">
        <v>211</v>
      </c>
      <c r="D82" s="88">
        <v>45859</v>
      </c>
      <c r="E82" s="89" t="s">
        <v>212</v>
      </c>
      <c r="F82" s="89">
        <v>30049000</v>
      </c>
      <c r="G82" s="89" t="s">
        <v>4</v>
      </c>
      <c r="H82" s="90">
        <v>1109</v>
      </c>
      <c r="I82" s="89" t="s">
        <v>13</v>
      </c>
      <c r="J82" s="91">
        <v>25000</v>
      </c>
      <c r="K82" s="90">
        <v>1357047.28</v>
      </c>
      <c r="L82" s="90">
        <v>0</v>
      </c>
      <c r="M82" s="89" t="s">
        <v>213</v>
      </c>
      <c r="N82" s="89" t="s">
        <v>214</v>
      </c>
      <c r="O82" s="88">
        <v>45967</v>
      </c>
      <c r="P82" s="89" t="s">
        <v>215</v>
      </c>
      <c r="Q82" s="89"/>
      <c r="R82" s="90">
        <v>1109</v>
      </c>
      <c r="S82" s="89" t="s">
        <v>13</v>
      </c>
      <c r="T82" s="91">
        <v>25000</v>
      </c>
      <c r="U82" s="90">
        <v>1357047.28</v>
      </c>
      <c r="V82" s="90">
        <v>0</v>
      </c>
      <c r="W82" s="79">
        <f>J82-T82</f>
        <v>0</v>
      </c>
      <c r="X82" s="66">
        <f>K82-U82</f>
        <v>0</v>
      </c>
      <c r="Y82" s="66">
        <f t="shared" ref="Y82" si="12">L82-V82</f>
        <v>0</v>
      </c>
      <c r="Z82" s="67">
        <f>H82-R82</f>
        <v>0</v>
      </c>
    </row>
    <row r="83" spans="1:26" x14ac:dyDescent="0.3">
      <c r="A83" s="1"/>
      <c r="B83" s="10"/>
      <c r="C83" s="11"/>
      <c r="D83" s="11"/>
      <c r="E83" s="11"/>
      <c r="F83" s="11"/>
      <c r="G83" s="11"/>
      <c r="H83" s="121"/>
      <c r="I83" s="11"/>
      <c r="J83" s="122"/>
      <c r="K83" s="121"/>
      <c r="L83" s="121"/>
      <c r="M83" s="11"/>
      <c r="N83" s="11"/>
      <c r="O83" s="11"/>
      <c r="P83" s="11"/>
      <c r="Q83" s="11"/>
      <c r="R83" s="121"/>
      <c r="S83" s="11"/>
      <c r="T83" s="122"/>
      <c r="U83" s="121"/>
      <c r="V83" s="121"/>
      <c r="W83" s="134"/>
      <c r="X83" s="68"/>
      <c r="Y83" s="68"/>
      <c r="Z83" s="81"/>
    </row>
    <row r="84" spans="1:26" ht="28.8" x14ac:dyDescent="0.3">
      <c r="A84" s="85" t="s">
        <v>161</v>
      </c>
      <c r="B84" s="95" t="s">
        <v>216</v>
      </c>
      <c r="C84" s="97" t="s">
        <v>217</v>
      </c>
      <c r="D84" s="88">
        <v>45852</v>
      </c>
      <c r="E84" s="89" t="s">
        <v>218</v>
      </c>
      <c r="F84" s="89">
        <v>30049000</v>
      </c>
      <c r="G84" s="89" t="s">
        <v>90</v>
      </c>
      <c r="H84" s="90">
        <v>109</v>
      </c>
      <c r="I84" s="89" t="s">
        <v>13</v>
      </c>
      <c r="J84" s="91">
        <v>5067</v>
      </c>
      <c r="K84" s="90">
        <v>161914.32</v>
      </c>
      <c r="L84" s="90">
        <v>6199</v>
      </c>
      <c r="M84" s="89" t="s">
        <v>213</v>
      </c>
      <c r="N84" s="89" t="s">
        <v>214</v>
      </c>
      <c r="O84" s="88">
        <v>45967</v>
      </c>
      <c r="P84" s="89" t="s">
        <v>219</v>
      </c>
      <c r="Q84" s="89"/>
      <c r="R84" s="90">
        <v>109</v>
      </c>
      <c r="S84" s="89" t="s">
        <v>13</v>
      </c>
      <c r="T84" s="91">
        <v>5067</v>
      </c>
      <c r="U84" s="90">
        <v>161914.32</v>
      </c>
      <c r="V84" s="90">
        <v>6199</v>
      </c>
      <c r="W84" s="79">
        <f t="shared" ref="W84:W88" si="13">J84-T84</f>
        <v>0</v>
      </c>
      <c r="X84" s="66">
        <f t="shared" ref="X84:X88" si="14">K84-U84</f>
        <v>0</v>
      </c>
      <c r="Y84" s="66">
        <f t="shared" ref="Y84:Y88" si="15">L84-V84</f>
        <v>0</v>
      </c>
      <c r="Z84" s="67">
        <f t="shared" ref="Z84:Z88" si="16">H84-R84</f>
        <v>0</v>
      </c>
    </row>
    <row r="85" spans="1:26" x14ac:dyDescent="0.3">
      <c r="A85" s="85"/>
      <c r="B85" s="86" t="s">
        <v>220</v>
      </c>
      <c r="C85" s="97"/>
      <c r="D85" s="88"/>
      <c r="E85" s="89"/>
      <c r="F85" s="89">
        <v>30049000</v>
      </c>
      <c r="G85" s="89" t="s">
        <v>90</v>
      </c>
      <c r="H85" s="90">
        <v>12593</v>
      </c>
      <c r="I85" s="89" t="s">
        <v>13</v>
      </c>
      <c r="J85" s="91">
        <v>123960</v>
      </c>
      <c r="K85" s="90">
        <v>14238156.85</v>
      </c>
      <c r="L85" s="90">
        <v>284764</v>
      </c>
      <c r="M85" s="89" t="s">
        <v>213</v>
      </c>
      <c r="N85" s="89" t="s">
        <v>214</v>
      </c>
      <c r="O85" s="88">
        <v>45967</v>
      </c>
      <c r="P85" s="89" t="s">
        <v>219</v>
      </c>
      <c r="Q85" s="89"/>
      <c r="R85" s="90">
        <v>12593</v>
      </c>
      <c r="S85" s="89" t="s">
        <v>13</v>
      </c>
      <c r="T85" s="91">
        <v>123960</v>
      </c>
      <c r="U85" s="90">
        <v>14238156.85</v>
      </c>
      <c r="V85" s="90">
        <v>284764</v>
      </c>
      <c r="W85" s="79">
        <f t="shared" si="13"/>
        <v>0</v>
      </c>
      <c r="X85" s="66">
        <f t="shared" si="14"/>
        <v>0</v>
      </c>
      <c r="Y85" s="66">
        <f t="shared" si="15"/>
        <v>0</v>
      </c>
      <c r="Z85" s="67">
        <f t="shared" si="16"/>
        <v>0</v>
      </c>
    </row>
    <row r="86" spans="1:26" x14ac:dyDescent="0.3">
      <c r="A86" s="85"/>
      <c r="B86" s="95" t="s">
        <v>221</v>
      </c>
      <c r="C86" s="97"/>
      <c r="D86" s="88"/>
      <c r="E86" s="89"/>
      <c r="F86" s="89">
        <v>30049000</v>
      </c>
      <c r="G86" s="89" t="s">
        <v>90</v>
      </c>
      <c r="H86" s="90">
        <v>176</v>
      </c>
      <c r="I86" s="89" t="s">
        <v>13</v>
      </c>
      <c r="J86" s="91">
        <v>3571</v>
      </c>
      <c r="K86" s="90">
        <v>219757.74</v>
      </c>
      <c r="L86" s="90">
        <v>4396</v>
      </c>
      <c r="M86" s="89" t="s">
        <v>213</v>
      </c>
      <c r="N86" s="89" t="s">
        <v>214</v>
      </c>
      <c r="O86" s="88">
        <v>45967</v>
      </c>
      <c r="P86" s="89" t="s">
        <v>219</v>
      </c>
      <c r="Q86" s="89"/>
      <c r="R86" s="90">
        <v>176</v>
      </c>
      <c r="S86" s="89" t="s">
        <v>13</v>
      </c>
      <c r="T86" s="91">
        <v>3571</v>
      </c>
      <c r="U86" s="90">
        <v>219757.74</v>
      </c>
      <c r="V86" s="90">
        <v>4396</v>
      </c>
      <c r="W86" s="79">
        <f t="shared" si="13"/>
        <v>0</v>
      </c>
      <c r="X86" s="66">
        <f t="shared" si="14"/>
        <v>0</v>
      </c>
      <c r="Y86" s="66">
        <f t="shared" si="15"/>
        <v>0</v>
      </c>
      <c r="Z86" s="67">
        <f t="shared" si="16"/>
        <v>0</v>
      </c>
    </row>
    <row r="87" spans="1:26" x14ac:dyDescent="0.3">
      <c r="A87" s="85"/>
      <c r="B87" s="95" t="s">
        <v>222</v>
      </c>
      <c r="C87" s="97"/>
      <c r="D87" s="88"/>
      <c r="E87" s="89"/>
      <c r="F87" s="89">
        <v>30049000</v>
      </c>
      <c r="G87" s="89" t="s">
        <v>90</v>
      </c>
      <c r="H87" s="90">
        <v>99</v>
      </c>
      <c r="I87" s="89" t="s">
        <v>13</v>
      </c>
      <c r="J87" s="91">
        <v>2083</v>
      </c>
      <c r="K87" s="90">
        <v>120218.51</v>
      </c>
      <c r="L87" s="90">
        <v>2405</v>
      </c>
      <c r="M87" s="89" t="s">
        <v>213</v>
      </c>
      <c r="N87" s="89" t="s">
        <v>214</v>
      </c>
      <c r="O87" s="88">
        <v>45967</v>
      </c>
      <c r="P87" s="89" t="s">
        <v>219</v>
      </c>
      <c r="Q87" s="89"/>
      <c r="R87" s="90">
        <v>99</v>
      </c>
      <c r="S87" s="89" t="s">
        <v>13</v>
      </c>
      <c r="T87" s="91">
        <v>2083</v>
      </c>
      <c r="U87" s="90">
        <v>120218.51</v>
      </c>
      <c r="V87" s="90">
        <v>2405</v>
      </c>
      <c r="W87" s="79">
        <f t="shared" si="13"/>
        <v>0</v>
      </c>
      <c r="X87" s="66">
        <f t="shared" si="14"/>
        <v>0</v>
      </c>
      <c r="Y87" s="66">
        <f t="shared" si="15"/>
        <v>0</v>
      </c>
      <c r="Z87" s="67">
        <f t="shared" si="16"/>
        <v>0</v>
      </c>
    </row>
    <row r="88" spans="1:26" x14ac:dyDescent="0.3">
      <c r="A88" s="85"/>
      <c r="B88" s="95" t="s">
        <v>223</v>
      </c>
      <c r="C88" s="97"/>
      <c r="D88" s="88"/>
      <c r="E88" s="89"/>
      <c r="F88" s="89">
        <v>30049000</v>
      </c>
      <c r="G88" s="89" t="s">
        <v>90</v>
      </c>
      <c r="H88" s="90">
        <v>107</v>
      </c>
      <c r="I88" s="89" t="s">
        <v>13</v>
      </c>
      <c r="J88" s="91">
        <v>1875</v>
      </c>
      <c r="K88" s="90">
        <v>216649.77</v>
      </c>
      <c r="L88" s="90">
        <v>4333</v>
      </c>
      <c r="M88" s="89" t="s">
        <v>213</v>
      </c>
      <c r="N88" s="89" t="s">
        <v>214</v>
      </c>
      <c r="O88" s="88">
        <v>45967</v>
      </c>
      <c r="P88" s="89" t="s">
        <v>219</v>
      </c>
      <c r="Q88" s="89"/>
      <c r="R88" s="90">
        <v>107</v>
      </c>
      <c r="S88" s="89" t="s">
        <v>13</v>
      </c>
      <c r="T88" s="91">
        <v>1875</v>
      </c>
      <c r="U88" s="90">
        <v>216649.77</v>
      </c>
      <c r="V88" s="90">
        <v>4333</v>
      </c>
      <c r="W88" s="79">
        <f t="shared" si="13"/>
        <v>0</v>
      </c>
      <c r="X88" s="66">
        <f t="shared" si="14"/>
        <v>0</v>
      </c>
      <c r="Y88" s="66">
        <f t="shared" si="15"/>
        <v>0</v>
      </c>
      <c r="Z88" s="67">
        <f t="shared" si="16"/>
        <v>0</v>
      </c>
    </row>
    <row r="89" spans="1:26" x14ac:dyDescent="0.3">
      <c r="A89" s="1"/>
      <c r="B89" s="10"/>
      <c r="C89" s="11"/>
      <c r="D89" s="11"/>
      <c r="E89" s="11"/>
      <c r="F89" s="11"/>
      <c r="G89" s="11"/>
      <c r="H89" s="12"/>
      <c r="I89" s="11"/>
      <c r="J89" s="13"/>
      <c r="K89" s="12"/>
      <c r="L89" s="12"/>
      <c r="M89" s="11"/>
      <c r="N89" s="11"/>
      <c r="O89" s="11"/>
      <c r="P89" s="11"/>
      <c r="Q89" s="11"/>
      <c r="R89" s="12"/>
      <c r="S89" s="11"/>
      <c r="T89" s="13"/>
      <c r="U89" s="12"/>
      <c r="V89" s="12"/>
      <c r="W89" s="134"/>
      <c r="X89" s="68"/>
      <c r="Y89" s="68"/>
      <c r="Z89" s="81"/>
    </row>
    <row r="90" spans="1:26" x14ac:dyDescent="0.3">
      <c r="A90" s="106" t="s">
        <v>224</v>
      </c>
      <c r="B90" s="106" t="s">
        <v>225</v>
      </c>
      <c r="C90" s="111" t="s">
        <v>226</v>
      </c>
      <c r="D90" s="88">
        <v>45862</v>
      </c>
      <c r="E90" s="89" t="s">
        <v>227</v>
      </c>
      <c r="F90" s="89">
        <v>30046000</v>
      </c>
      <c r="G90" s="89" t="s">
        <v>228</v>
      </c>
      <c r="H90" s="90">
        <v>1140.4000000000001</v>
      </c>
      <c r="I90" s="89" t="s">
        <v>13</v>
      </c>
      <c r="J90" s="91">
        <v>3833</v>
      </c>
      <c r="K90" s="90">
        <v>6844313.7800000003</v>
      </c>
      <c r="L90" s="90">
        <v>137137</v>
      </c>
      <c r="M90" s="89" t="s">
        <v>213</v>
      </c>
      <c r="N90" s="89" t="s">
        <v>214</v>
      </c>
      <c r="O90" s="88">
        <v>45967</v>
      </c>
      <c r="P90" s="89" t="s">
        <v>229</v>
      </c>
      <c r="Q90" s="89"/>
      <c r="R90" s="90">
        <v>1140.4000000000001</v>
      </c>
      <c r="S90" s="89" t="s">
        <v>13</v>
      </c>
      <c r="T90" s="91">
        <v>3833</v>
      </c>
      <c r="U90" s="90">
        <v>6844313.7800000003</v>
      </c>
      <c r="V90" s="90">
        <v>137137</v>
      </c>
      <c r="W90" s="79">
        <f>J90-T90</f>
        <v>0</v>
      </c>
      <c r="X90" s="66">
        <f>K90-U90</f>
        <v>0</v>
      </c>
      <c r="Y90" s="66">
        <f t="shared" ref="Y90" si="17">L90-V90</f>
        <v>0</v>
      </c>
      <c r="Z90" s="67">
        <f>H90-R90</f>
        <v>0</v>
      </c>
    </row>
    <row r="91" spans="1:26" x14ac:dyDescent="0.3">
      <c r="A91" s="1"/>
      <c r="B91" s="10"/>
      <c r="C91" s="11"/>
      <c r="D91" s="11"/>
      <c r="E91" s="11"/>
      <c r="F91" s="11"/>
      <c r="G91" s="11"/>
      <c r="H91" s="12"/>
      <c r="I91" s="11"/>
      <c r="J91" s="13"/>
      <c r="K91" s="12"/>
      <c r="L91" s="12"/>
      <c r="M91" s="11"/>
      <c r="N91" s="11"/>
      <c r="O91" s="11"/>
      <c r="P91" s="11"/>
      <c r="Q91" s="11"/>
      <c r="R91" s="12"/>
      <c r="S91" s="11"/>
      <c r="T91" s="13"/>
      <c r="U91" s="12"/>
      <c r="V91" s="12"/>
      <c r="W91" s="134"/>
      <c r="X91" s="68"/>
      <c r="Y91" s="68"/>
      <c r="Z91" s="81"/>
    </row>
    <row r="92" spans="1:26" x14ac:dyDescent="0.3">
      <c r="A92" s="85" t="s">
        <v>230</v>
      </c>
      <c r="B92" s="95" t="s">
        <v>231</v>
      </c>
      <c r="C92" s="97" t="s">
        <v>232</v>
      </c>
      <c r="D92" s="88">
        <v>45867</v>
      </c>
      <c r="E92" s="89" t="s">
        <v>233</v>
      </c>
      <c r="F92" s="89">
        <v>30049000</v>
      </c>
      <c r="G92" s="89" t="s">
        <v>228</v>
      </c>
      <c r="H92" s="90">
        <v>33.9</v>
      </c>
      <c r="I92" s="89" t="s">
        <v>13</v>
      </c>
      <c r="J92" s="91">
        <v>835</v>
      </c>
      <c r="K92" s="90">
        <v>228146.1</v>
      </c>
      <c r="L92" s="90">
        <v>4813</v>
      </c>
      <c r="M92" s="89" t="s">
        <v>234</v>
      </c>
      <c r="N92" s="89" t="s">
        <v>235</v>
      </c>
      <c r="O92" s="283">
        <v>45986</v>
      </c>
      <c r="P92" s="293" t="s">
        <v>236</v>
      </c>
      <c r="Q92" s="282" t="s">
        <v>237</v>
      </c>
      <c r="R92" s="90">
        <v>33.9</v>
      </c>
      <c r="S92" s="89" t="s">
        <v>13</v>
      </c>
      <c r="T92" s="91">
        <v>835</v>
      </c>
      <c r="U92" s="90">
        <v>228146.1</v>
      </c>
      <c r="V92" s="90">
        <v>4813</v>
      </c>
      <c r="W92" s="79">
        <f t="shared" ref="W92:W96" si="18">J92-T92</f>
        <v>0</v>
      </c>
      <c r="X92" s="66">
        <f t="shared" ref="X92:X96" si="19">K92-U92</f>
        <v>0</v>
      </c>
      <c r="Y92" s="66">
        <f t="shared" ref="Y92:Y96" si="20">L92-V92</f>
        <v>0</v>
      </c>
      <c r="Z92" s="67">
        <f t="shared" ref="Z92:Z96" si="21">H92-R92</f>
        <v>0</v>
      </c>
    </row>
    <row r="93" spans="1:26" x14ac:dyDescent="0.3">
      <c r="A93" s="85"/>
      <c r="B93" s="95" t="s">
        <v>238</v>
      </c>
      <c r="C93" s="97"/>
      <c r="D93" s="88"/>
      <c r="E93" s="89"/>
      <c r="F93" s="89">
        <v>30049000</v>
      </c>
      <c r="G93" s="89" t="s">
        <v>228</v>
      </c>
      <c r="H93" s="90">
        <v>11.15</v>
      </c>
      <c r="I93" s="89" t="s">
        <v>13</v>
      </c>
      <c r="J93" s="91">
        <v>950</v>
      </c>
      <c r="K93" s="90">
        <v>259567.42</v>
      </c>
      <c r="L93" s="90">
        <v>5192</v>
      </c>
      <c r="M93" s="89" t="s">
        <v>234</v>
      </c>
      <c r="N93" s="89" t="s">
        <v>235</v>
      </c>
      <c r="O93" s="283"/>
      <c r="P93" s="293"/>
      <c r="Q93" s="282"/>
      <c r="R93" s="90">
        <v>11.15</v>
      </c>
      <c r="S93" s="89" t="s">
        <v>13</v>
      </c>
      <c r="T93" s="91">
        <v>950</v>
      </c>
      <c r="U93" s="90">
        <v>259567.42</v>
      </c>
      <c r="V93" s="90">
        <v>5192</v>
      </c>
      <c r="W93" s="79">
        <f t="shared" si="18"/>
        <v>0</v>
      </c>
      <c r="X93" s="66">
        <f t="shared" si="19"/>
        <v>0</v>
      </c>
      <c r="Y93" s="66">
        <f t="shared" si="20"/>
        <v>0</v>
      </c>
      <c r="Z93" s="67">
        <f t="shared" si="21"/>
        <v>0</v>
      </c>
    </row>
    <row r="94" spans="1:26" x14ac:dyDescent="0.3">
      <c r="A94" s="85"/>
      <c r="B94" s="95" t="s">
        <v>239</v>
      </c>
      <c r="C94" s="97"/>
      <c r="D94" s="88"/>
      <c r="E94" s="89"/>
      <c r="F94" s="89">
        <v>30049000</v>
      </c>
      <c r="G94" s="89" t="s">
        <v>228</v>
      </c>
      <c r="H94" s="90">
        <v>209</v>
      </c>
      <c r="I94" s="89" t="s">
        <v>13</v>
      </c>
      <c r="J94" s="91">
        <v>3305</v>
      </c>
      <c r="K94" s="90">
        <v>1454017.5</v>
      </c>
      <c r="L94" s="90">
        <v>29081</v>
      </c>
      <c r="M94" s="89" t="s">
        <v>234</v>
      </c>
      <c r="N94" s="89" t="s">
        <v>235</v>
      </c>
      <c r="O94" s="283"/>
      <c r="P94" s="293"/>
      <c r="Q94" s="282"/>
      <c r="R94" s="90">
        <v>209</v>
      </c>
      <c r="S94" s="89" t="s">
        <v>13</v>
      </c>
      <c r="T94" s="91">
        <v>3305</v>
      </c>
      <c r="U94" s="90">
        <v>1454017.5</v>
      </c>
      <c r="V94" s="90">
        <v>29081</v>
      </c>
      <c r="W94" s="79">
        <f t="shared" si="18"/>
        <v>0</v>
      </c>
      <c r="X94" s="66">
        <f t="shared" si="19"/>
        <v>0</v>
      </c>
      <c r="Y94" s="66">
        <f t="shared" si="20"/>
        <v>0</v>
      </c>
      <c r="Z94" s="67">
        <f t="shared" si="21"/>
        <v>0</v>
      </c>
    </row>
    <row r="95" spans="1:26" x14ac:dyDescent="0.3">
      <c r="A95" s="85"/>
      <c r="B95" s="95" t="s">
        <v>240</v>
      </c>
      <c r="C95" s="97"/>
      <c r="D95" s="88"/>
      <c r="E95" s="89"/>
      <c r="F95" s="89">
        <v>30049000</v>
      </c>
      <c r="G95" s="89" t="s">
        <v>228</v>
      </c>
      <c r="H95" s="90">
        <v>5.75</v>
      </c>
      <c r="I95" s="89" t="s">
        <v>13</v>
      </c>
      <c r="J95" s="91">
        <v>95</v>
      </c>
      <c r="K95" s="90">
        <v>41794.76</v>
      </c>
      <c r="L95" s="90">
        <v>836</v>
      </c>
      <c r="M95" s="89" t="s">
        <v>234</v>
      </c>
      <c r="N95" s="89" t="s">
        <v>235</v>
      </c>
      <c r="O95" s="283"/>
      <c r="P95" s="293"/>
      <c r="Q95" s="282"/>
      <c r="R95" s="90">
        <v>5.75</v>
      </c>
      <c r="S95" s="89" t="s">
        <v>13</v>
      </c>
      <c r="T95" s="91">
        <v>95</v>
      </c>
      <c r="U95" s="90">
        <v>41794.76</v>
      </c>
      <c r="V95" s="90">
        <v>836</v>
      </c>
      <c r="W95" s="79">
        <f t="shared" si="18"/>
        <v>0</v>
      </c>
      <c r="X95" s="66">
        <f t="shared" si="19"/>
        <v>0</v>
      </c>
      <c r="Y95" s="66">
        <f t="shared" si="20"/>
        <v>0</v>
      </c>
      <c r="Z95" s="67">
        <f t="shared" si="21"/>
        <v>0</v>
      </c>
    </row>
    <row r="96" spans="1:26" x14ac:dyDescent="0.3">
      <c r="A96" s="85"/>
      <c r="B96" s="95" t="s">
        <v>241</v>
      </c>
      <c r="C96" s="97"/>
      <c r="D96" s="88"/>
      <c r="E96" s="89"/>
      <c r="F96" s="89">
        <v>30049000</v>
      </c>
      <c r="G96" s="89" t="s">
        <v>228</v>
      </c>
      <c r="H96" s="90">
        <v>20</v>
      </c>
      <c r="I96" s="89" t="s">
        <v>13</v>
      </c>
      <c r="J96" s="91">
        <v>1312</v>
      </c>
      <c r="K96" s="90">
        <v>496195.96</v>
      </c>
      <c r="L96" s="90">
        <v>9924</v>
      </c>
      <c r="M96" s="89" t="s">
        <v>234</v>
      </c>
      <c r="N96" s="89" t="s">
        <v>235</v>
      </c>
      <c r="O96" s="283"/>
      <c r="P96" s="293"/>
      <c r="Q96" s="282"/>
      <c r="R96" s="90">
        <v>20</v>
      </c>
      <c r="S96" s="89" t="s">
        <v>13</v>
      </c>
      <c r="T96" s="91">
        <v>1312</v>
      </c>
      <c r="U96" s="90">
        <v>496195.96</v>
      </c>
      <c r="V96" s="90">
        <v>9924</v>
      </c>
      <c r="W96" s="79">
        <f t="shared" si="18"/>
        <v>0</v>
      </c>
      <c r="X96" s="66">
        <f t="shared" si="19"/>
        <v>0</v>
      </c>
      <c r="Y96" s="66">
        <f t="shared" si="20"/>
        <v>0</v>
      </c>
      <c r="Z96" s="67">
        <f t="shared" si="21"/>
        <v>0</v>
      </c>
    </row>
    <row r="97" spans="1:26" x14ac:dyDescent="0.3">
      <c r="A97" s="10"/>
      <c r="B97" s="46"/>
      <c r="C97" s="46"/>
      <c r="D97" s="46"/>
      <c r="E97" s="46"/>
      <c r="F97" s="46"/>
      <c r="G97" s="46"/>
      <c r="H97" s="46"/>
      <c r="I97" s="46"/>
      <c r="J97" s="46"/>
      <c r="K97" s="135"/>
      <c r="L97" s="135"/>
      <c r="M97" s="11"/>
      <c r="N97" s="11"/>
      <c r="O97" s="46"/>
      <c r="P97" s="46"/>
      <c r="Q97" s="46"/>
      <c r="R97" s="135"/>
      <c r="S97" s="46"/>
      <c r="T97" s="136"/>
      <c r="U97" s="135"/>
      <c r="V97" s="135"/>
      <c r="W97" s="137"/>
      <c r="X97" s="81"/>
      <c r="Y97" s="81"/>
      <c r="Z97" s="81"/>
    </row>
    <row r="98" spans="1:26" x14ac:dyDescent="0.3">
      <c r="A98" s="139" t="s">
        <v>242</v>
      </c>
      <c r="B98" s="29" t="s">
        <v>243</v>
      </c>
      <c r="C98" s="20" t="s">
        <v>244</v>
      </c>
      <c r="D98" s="21">
        <v>45873</v>
      </c>
      <c r="E98" s="22" t="s">
        <v>245</v>
      </c>
      <c r="F98" s="22">
        <v>30042000</v>
      </c>
      <c r="G98" s="22" t="s">
        <v>12</v>
      </c>
      <c r="H98" s="23">
        <v>7</v>
      </c>
      <c r="I98" s="22" t="s">
        <v>13</v>
      </c>
      <c r="J98" s="24">
        <v>20190</v>
      </c>
      <c r="K98" s="23">
        <v>1210380.54</v>
      </c>
      <c r="L98" s="23">
        <v>24458</v>
      </c>
      <c r="M98" s="22" t="s">
        <v>213</v>
      </c>
      <c r="N98" s="22" t="s">
        <v>214</v>
      </c>
      <c r="O98" s="21">
        <v>45967</v>
      </c>
      <c r="P98" s="22" t="s">
        <v>246</v>
      </c>
      <c r="Q98" s="22"/>
      <c r="R98" s="23">
        <v>7</v>
      </c>
      <c r="S98" s="22" t="s">
        <v>13</v>
      </c>
      <c r="T98" s="24">
        <v>20188</v>
      </c>
      <c r="U98" s="40">
        <f>(T98*K98)/J98</f>
        <v>1210260.640986627</v>
      </c>
      <c r="V98" s="23">
        <f>(T98*L98)/J98</f>
        <v>24455.577216443784</v>
      </c>
      <c r="W98" s="79">
        <f>J98-T98</f>
        <v>2</v>
      </c>
      <c r="X98" s="66">
        <f>K98-U98</f>
        <v>119.89901337306947</v>
      </c>
      <c r="Y98" s="66">
        <f>L98-V98</f>
        <v>2.422783556216018</v>
      </c>
      <c r="Z98" s="67">
        <v>0</v>
      </c>
    </row>
    <row r="99" spans="1:26" x14ac:dyDescent="0.3">
      <c r="A99" s="1"/>
      <c r="B99" s="10"/>
      <c r="C99" s="11"/>
      <c r="D99" s="11"/>
      <c r="E99" s="11"/>
      <c r="F99" s="11"/>
      <c r="G99" s="11"/>
      <c r="H99" s="12"/>
      <c r="I99" s="11"/>
      <c r="J99" s="13"/>
      <c r="K99" s="12"/>
      <c r="L99" s="12"/>
      <c r="M99" s="11"/>
      <c r="N99" s="11"/>
      <c r="O99" s="11"/>
      <c r="P99" s="11"/>
      <c r="Q99" s="11"/>
      <c r="R99" s="12"/>
      <c r="S99" s="11"/>
      <c r="T99" s="13"/>
      <c r="U99" s="12"/>
      <c r="V99" s="12"/>
      <c r="W99" s="134"/>
      <c r="X99" s="68"/>
      <c r="Y99" s="68"/>
      <c r="Z99" s="81"/>
    </row>
    <row r="100" spans="1:26" s="60" customFormat="1" x14ac:dyDescent="0.3">
      <c r="A100" s="93" t="s">
        <v>247</v>
      </c>
      <c r="B100" s="93" t="s">
        <v>248</v>
      </c>
      <c r="C100" s="89" t="s">
        <v>249</v>
      </c>
      <c r="D100" s="88">
        <v>45873</v>
      </c>
      <c r="E100" s="89" t="s">
        <v>250</v>
      </c>
      <c r="F100" s="89">
        <v>30049000</v>
      </c>
      <c r="G100" s="89" t="s">
        <v>4</v>
      </c>
      <c r="H100" s="90">
        <v>935</v>
      </c>
      <c r="I100" s="89" t="s">
        <v>13</v>
      </c>
      <c r="J100" s="91">
        <v>12890</v>
      </c>
      <c r="K100" s="90">
        <v>1032846.69</v>
      </c>
      <c r="L100" s="90">
        <v>0</v>
      </c>
      <c r="M100" s="89" t="s">
        <v>234</v>
      </c>
      <c r="N100" s="89" t="s">
        <v>235</v>
      </c>
      <c r="O100" s="88">
        <v>45986</v>
      </c>
      <c r="P100" s="89" t="s">
        <v>251</v>
      </c>
      <c r="Q100" s="98" t="s">
        <v>252</v>
      </c>
      <c r="R100" s="90">
        <v>935</v>
      </c>
      <c r="S100" s="89" t="s">
        <v>13</v>
      </c>
      <c r="T100" s="91">
        <v>12890</v>
      </c>
      <c r="U100" s="90">
        <v>1032846.69</v>
      </c>
      <c r="V100" s="90">
        <v>0</v>
      </c>
      <c r="W100" s="79">
        <f>J100-T100</f>
        <v>0</v>
      </c>
      <c r="X100" s="66">
        <f>K100-U100</f>
        <v>0</v>
      </c>
      <c r="Y100" s="66">
        <f t="shared" ref="Y100" si="22">L100-V100</f>
        <v>0</v>
      </c>
      <c r="Z100" s="67">
        <f>H100-R100</f>
        <v>0</v>
      </c>
    </row>
    <row r="101" spans="1:26" x14ac:dyDescent="0.3">
      <c r="A101" s="1"/>
      <c r="B101" s="10"/>
      <c r="C101" s="11"/>
      <c r="D101" s="11"/>
      <c r="E101" s="11"/>
      <c r="F101" s="11"/>
      <c r="G101" s="11"/>
      <c r="H101" s="12"/>
      <c r="I101" s="11"/>
      <c r="J101" s="13"/>
      <c r="K101" s="12"/>
      <c r="L101" s="12"/>
      <c r="M101" s="11"/>
      <c r="N101" s="11"/>
      <c r="O101" s="11"/>
      <c r="P101" s="11"/>
      <c r="Q101" s="11"/>
      <c r="R101" s="12"/>
      <c r="S101" s="11"/>
      <c r="T101" s="13"/>
      <c r="U101" s="12"/>
      <c r="V101" s="12"/>
      <c r="W101" s="134"/>
      <c r="X101" s="68"/>
      <c r="Y101" s="68"/>
      <c r="Z101" s="81"/>
    </row>
    <row r="102" spans="1:26" x14ac:dyDescent="0.3">
      <c r="A102" s="106" t="s">
        <v>253</v>
      </c>
      <c r="B102" s="113" t="s">
        <v>254</v>
      </c>
      <c r="C102" s="87" t="s">
        <v>255</v>
      </c>
      <c r="D102" s="88">
        <v>45875</v>
      </c>
      <c r="E102" s="89" t="s">
        <v>256</v>
      </c>
      <c r="F102" s="89">
        <v>30049000</v>
      </c>
      <c r="G102" s="89" t="s">
        <v>12</v>
      </c>
      <c r="H102" s="90">
        <v>44</v>
      </c>
      <c r="I102" s="89" t="s">
        <v>13</v>
      </c>
      <c r="J102" s="91">
        <v>1375</v>
      </c>
      <c r="K102" s="90">
        <v>559141.44999999995</v>
      </c>
      <c r="L102" s="90">
        <v>11433</v>
      </c>
      <c r="M102" s="89" t="s">
        <v>213</v>
      </c>
      <c r="N102" s="89" t="s">
        <v>214</v>
      </c>
      <c r="O102" s="88">
        <v>45967</v>
      </c>
      <c r="P102" s="89" t="s">
        <v>257</v>
      </c>
      <c r="Q102" s="89"/>
      <c r="R102" s="90">
        <v>44</v>
      </c>
      <c r="S102" s="89" t="s">
        <v>13</v>
      </c>
      <c r="T102" s="91">
        <v>1375</v>
      </c>
      <c r="U102" s="90">
        <v>559141.44999999995</v>
      </c>
      <c r="V102" s="90">
        <v>11433</v>
      </c>
      <c r="W102" s="79">
        <f>J102-T102</f>
        <v>0</v>
      </c>
      <c r="X102" s="66">
        <f>K102-U102</f>
        <v>0</v>
      </c>
      <c r="Y102" s="66">
        <f t="shared" ref="Y102" si="23">L102-V102</f>
        <v>0</v>
      </c>
      <c r="Z102" s="67">
        <f>H102-R102</f>
        <v>0</v>
      </c>
    </row>
    <row r="103" spans="1:26" x14ac:dyDescent="0.3">
      <c r="A103" s="1"/>
      <c r="B103" s="46"/>
      <c r="C103" s="11"/>
      <c r="D103" s="11"/>
      <c r="E103" s="11"/>
      <c r="F103" s="11"/>
      <c r="G103" s="11"/>
      <c r="H103" s="121"/>
      <c r="I103" s="11"/>
      <c r="J103" s="122"/>
      <c r="K103" s="121"/>
      <c r="L103" s="121"/>
      <c r="M103" s="11"/>
      <c r="N103" s="11"/>
      <c r="O103" s="11"/>
      <c r="P103" s="11"/>
      <c r="Q103" s="11"/>
      <c r="R103" s="121"/>
      <c r="S103" s="11"/>
      <c r="T103" s="122"/>
      <c r="U103" s="121"/>
      <c r="V103" s="121"/>
      <c r="W103" s="134"/>
      <c r="X103" s="68"/>
      <c r="Y103" s="68"/>
      <c r="Z103" s="81"/>
    </row>
    <row r="104" spans="1:26" x14ac:dyDescent="0.3">
      <c r="A104" s="106" t="s">
        <v>258</v>
      </c>
      <c r="B104" s="113" t="s">
        <v>259</v>
      </c>
      <c r="C104" s="87" t="s">
        <v>260</v>
      </c>
      <c r="D104" s="88">
        <v>45880</v>
      </c>
      <c r="E104" s="89" t="s">
        <v>261</v>
      </c>
      <c r="F104" s="89">
        <v>30043900</v>
      </c>
      <c r="G104" s="89" t="s">
        <v>90</v>
      </c>
      <c r="H104" s="90">
        <v>109</v>
      </c>
      <c r="I104" s="89" t="s">
        <v>13</v>
      </c>
      <c r="J104" s="91">
        <v>8540</v>
      </c>
      <c r="K104" s="90">
        <v>639885.46</v>
      </c>
      <c r="L104" s="90">
        <v>13048</v>
      </c>
      <c r="M104" s="89" t="s">
        <v>213</v>
      </c>
      <c r="N104" s="89" t="s">
        <v>214</v>
      </c>
      <c r="O104" s="88">
        <v>45967</v>
      </c>
      <c r="P104" s="89" t="s">
        <v>262</v>
      </c>
      <c r="Q104" s="89"/>
      <c r="R104" s="90">
        <v>109</v>
      </c>
      <c r="S104" s="89" t="s">
        <v>13</v>
      </c>
      <c r="T104" s="91">
        <v>8540</v>
      </c>
      <c r="U104" s="90">
        <v>639885.46</v>
      </c>
      <c r="V104" s="90">
        <v>13048</v>
      </c>
      <c r="W104" s="79">
        <f>J104-T104</f>
        <v>0</v>
      </c>
      <c r="X104" s="66">
        <f>K104-U104</f>
        <v>0</v>
      </c>
      <c r="Y104" s="66">
        <f t="shared" ref="Y104" si="24">L104-V104</f>
        <v>0</v>
      </c>
      <c r="Z104" s="67">
        <f>H104-R104</f>
        <v>0</v>
      </c>
    </row>
    <row r="105" spans="1:26" x14ac:dyDescent="0.3">
      <c r="A105" s="1"/>
      <c r="B105" s="46"/>
      <c r="C105" s="11"/>
      <c r="D105" s="11"/>
      <c r="E105" s="11"/>
      <c r="F105" s="11"/>
      <c r="G105" s="11"/>
      <c r="H105" s="12"/>
      <c r="I105" s="11"/>
      <c r="J105" s="13"/>
      <c r="K105" s="12"/>
      <c r="L105" s="12"/>
      <c r="M105" s="11"/>
      <c r="N105" s="11"/>
      <c r="O105" s="11"/>
      <c r="P105" s="11"/>
      <c r="Q105" s="11"/>
      <c r="R105" s="12"/>
      <c r="S105" s="11"/>
      <c r="T105" s="13"/>
      <c r="U105" s="12"/>
      <c r="V105" s="12"/>
      <c r="W105" s="134"/>
      <c r="X105" s="68"/>
      <c r="Y105" s="68"/>
      <c r="Z105" s="81"/>
    </row>
    <row r="106" spans="1:26" x14ac:dyDescent="0.3">
      <c r="A106" s="106" t="s">
        <v>263</v>
      </c>
      <c r="B106" s="113" t="s">
        <v>264</v>
      </c>
      <c r="C106" s="87" t="s">
        <v>265</v>
      </c>
      <c r="D106" s="88">
        <v>45898</v>
      </c>
      <c r="E106" s="89" t="s">
        <v>266</v>
      </c>
      <c r="F106" s="108">
        <v>30049000</v>
      </c>
      <c r="G106" s="89" t="s">
        <v>267</v>
      </c>
      <c r="H106" s="90">
        <v>387</v>
      </c>
      <c r="I106" s="89" t="s">
        <v>13</v>
      </c>
      <c r="J106" s="91">
        <v>387</v>
      </c>
      <c r="K106" s="90">
        <v>324274.45</v>
      </c>
      <c r="L106" s="90">
        <v>6736</v>
      </c>
      <c r="M106" s="89" t="s">
        <v>213</v>
      </c>
      <c r="N106" s="89" t="s">
        <v>214</v>
      </c>
      <c r="O106" s="88">
        <v>45967</v>
      </c>
      <c r="P106" s="89" t="s">
        <v>268</v>
      </c>
      <c r="Q106" s="89"/>
      <c r="R106" s="90">
        <v>387</v>
      </c>
      <c r="S106" s="89" t="s">
        <v>13</v>
      </c>
      <c r="T106" s="91">
        <v>387</v>
      </c>
      <c r="U106" s="90">
        <v>324274.45</v>
      </c>
      <c r="V106" s="90">
        <v>6736</v>
      </c>
      <c r="W106" s="79">
        <f>J106-T106</f>
        <v>0</v>
      </c>
      <c r="X106" s="66">
        <f>K106-U106</f>
        <v>0</v>
      </c>
      <c r="Y106" s="66">
        <f t="shared" ref="Y106" si="25">L106-V106</f>
        <v>0</v>
      </c>
      <c r="Z106" s="67">
        <f>H106-R106</f>
        <v>0</v>
      </c>
    </row>
    <row r="107" spans="1:26" x14ac:dyDescent="0.3">
      <c r="A107" s="1"/>
      <c r="B107" s="46"/>
      <c r="C107" s="11"/>
      <c r="D107" s="11"/>
      <c r="E107" s="11"/>
      <c r="F107" s="11"/>
      <c r="G107" s="11"/>
      <c r="H107" s="12"/>
      <c r="I107" s="11"/>
      <c r="J107" s="13"/>
      <c r="K107" s="12"/>
      <c r="L107" s="12"/>
      <c r="M107" s="11"/>
      <c r="N107" s="11"/>
      <c r="O107" s="11"/>
      <c r="P107" s="11"/>
      <c r="Q107" s="11"/>
      <c r="R107" s="12"/>
      <c r="S107" s="11"/>
      <c r="T107" s="13"/>
      <c r="U107" s="12"/>
      <c r="V107" s="12"/>
      <c r="W107" s="134"/>
      <c r="X107" s="68"/>
      <c r="Y107" s="68"/>
      <c r="Z107" s="81"/>
    </row>
    <row r="108" spans="1:26" x14ac:dyDescent="0.3">
      <c r="A108" s="85" t="s">
        <v>269</v>
      </c>
      <c r="B108" s="113" t="s">
        <v>270</v>
      </c>
      <c r="C108" s="87" t="s">
        <v>271</v>
      </c>
      <c r="D108" s="88">
        <v>45898</v>
      </c>
      <c r="E108" s="89" t="s">
        <v>272</v>
      </c>
      <c r="F108" s="108">
        <v>30049000</v>
      </c>
      <c r="G108" s="89" t="s">
        <v>90</v>
      </c>
      <c r="H108" s="90">
        <v>130</v>
      </c>
      <c r="I108" s="89" t="s">
        <v>13</v>
      </c>
      <c r="J108" s="91">
        <v>6500</v>
      </c>
      <c r="K108" s="90">
        <v>453850.78</v>
      </c>
      <c r="L108" s="90">
        <v>9328</v>
      </c>
      <c r="M108" s="89" t="s">
        <v>213</v>
      </c>
      <c r="N108" s="89" t="s">
        <v>214</v>
      </c>
      <c r="O108" s="88">
        <v>45967</v>
      </c>
      <c r="P108" s="89" t="s">
        <v>273</v>
      </c>
      <c r="Q108" s="89"/>
      <c r="R108" s="90">
        <v>130</v>
      </c>
      <c r="S108" s="89" t="s">
        <v>13</v>
      </c>
      <c r="T108" s="91">
        <v>6500</v>
      </c>
      <c r="U108" s="90">
        <v>453850.78</v>
      </c>
      <c r="V108" s="90">
        <v>9328</v>
      </c>
      <c r="W108" s="79">
        <f t="shared" ref="W108:W109" si="26">J108-T108</f>
        <v>0</v>
      </c>
      <c r="X108" s="66">
        <f t="shared" ref="X108:X109" si="27">K108-U108</f>
        <v>0</v>
      </c>
      <c r="Y108" s="66">
        <f t="shared" ref="Y108:Y109" si="28">L108-V108</f>
        <v>0</v>
      </c>
      <c r="Z108" s="67">
        <f t="shared" ref="Z108:Z109" si="29">H108-R108</f>
        <v>0</v>
      </c>
    </row>
    <row r="109" spans="1:26" x14ac:dyDescent="0.3">
      <c r="A109" s="85"/>
      <c r="B109" s="113" t="s">
        <v>274</v>
      </c>
      <c r="C109" s="87"/>
      <c r="D109" s="88"/>
      <c r="E109" s="89"/>
      <c r="F109" s="108">
        <v>30049000</v>
      </c>
      <c r="G109" s="89" t="s">
        <v>90</v>
      </c>
      <c r="H109" s="90">
        <v>30</v>
      </c>
      <c r="I109" s="89" t="s">
        <v>13</v>
      </c>
      <c r="J109" s="91">
        <v>146</v>
      </c>
      <c r="K109" s="90">
        <v>89295.42</v>
      </c>
      <c r="L109" s="90">
        <v>1786</v>
      </c>
      <c r="M109" s="89" t="s">
        <v>213</v>
      </c>
      <c r="N109" s="89" t="s">
        <v>214</v>
      </c>
      <c r="O109" s="88">
        <v>45967</v>
      </c>
      <c r="P109" s="89" t="s">
        <v>273</v>
      </c>
      <c r="Q109" s="89"/>
      <c r="R109" s="90">
        <v>30</v>
      </c>
      <c r="S109" s="89" t="s">
        <v>13</v>
      </c>
      <c r="T109" s="91">
        <v>146</v>
      </c>
      <c r="U109" s="90">
        <v>89295.42</v>
      </c>
      <c r="V109" s="90">
        <v>1786</v>
      </c>
      <c r="W109" s="79">
        <f t="shared" si="26"/>
        <v>0</v>
      </c>
      <c r="X109" s="66">
        <f t="shared" si="27"/>
        <v>0</v>
      </c>
      <c r="Y109" s="66">
        <f t="shared" si="28"/>
        <v>0</v>
      </c>
      <c r="Z109" s="67">
        <f t="shared" si="29"/>
        <v>0</v>
      </c>
    </row>
    <row r="110" spans="1:26" s="4" customFormat="1" x14ac:dyDescent="0.3">
      <c r="A110" s="1"/>
      <c r="B110" s="10"/>
      <c r="C110" s="11"/>
      <c r="D110" s="11"/>
      <c r="E110" s="11"/>
      <c r="F110" s="11"/>
      <c r="G110" s="11"/>
      <c r="H110" s="12"/>
      <c r="I110" s="11"/>
      <c r="J110" s="13"/>
      <c r="K110" s="12"/>
      <c r="L110" s="12"/>
      <c r="M110" s="11"/>
      <c r="N110" s="11"/>
      <c r="O110" s="11"/>
      <c r="P110" s="11"/>
      <c r="Q110" s="11"/>
      <c r="R110" s="12"/>
      <c r="S110" s="11"/>
      <c r="T110" s="13"/>
      <c r="U110" s="12"/>
      <c r="V110" s="12"/>
      <c r="W110" s="134"/>
      <c r="X110" s="68"/>
      <c r="Y110" s="68"/>
      <c r="Z110" s="82"/>
    </row>
    <row r="111" spans="1:26" s="4" customFormat="1" x14ac:dyDescent="0.3">
      <c r="A111" s="85" t="s">
        <v>275</v>
      </c>
      <c r="B111" s="95" t="s">
        <v>276</v>
      </c>
      <c r="C111" s="97" t="s">
        <v>277</v>
      </c>
      <c r="D111" s="114">
        <v>45904</v>
      </c>
      <c r="E111" s="108" t="s">
        <v>278</v>
      </c>
      <c r="F111" s="108">
        <v>30049000</v>
      </c>
      <c r="G111" s="108" t="s">
        <v>4</v>
      </c>
      <c r="H111" s="115">
        <v>28</v>
      </c>
      <c r="I111" s="108" t="s">
        <v>13</v>
      </c>
      <c r="J111" s="91">
        <v>56</v>
      </c>
      <c r="K111" s="90">
        <v>82580.72</v>
      </c>
      <c r="L111" s="90">
        <v>0</v>
      </c>
      <c r="M111" s="89" t="s">
        <v>279</v>
      </c>
      <c r="N111" s="89" t="s">
        <v>280</v>
      </c>
      <c r="O111" s="114">
        <v>46010</v>
      </c>
      <c r="P111" s="108" t="s">
        <v>281</v>
      </c>
      <c r="Q111" s="108"/>
      <c r="R111" s="115">
        <v>28</v>
      </c>
      <c r="S111" s="108" t="s">
        <v>13</v>
      </c>
      <c r="T111" s="91">
        <v>56</v>
      </c>
      <c r="U111" s="90">
        <v>82580.72</v>
      </c>
      <c r="V111" s="90">
        <v>0</v>
      </c>
      <c r="W111" s="79">
        <f t="shared" ref="W111:W112" si="30">J111-T111</f>
        <v>0</v>
      </c>
      <c r="X111" s="66">
        <f t="shared" ref="X111:X112" si="31">K111-U111</f>
        <v>0</v>
      </c>
      <c r="Y111" s="66">
        <f t="shared" ref="Y111:Y112" si="32">L111-V111</f>
        <v>0</v>
      </c>
      <c r="Z111" s="67">
        <f t="shared" ref="Z111:Z112" si="33">H111-R111</f>
        <v>0</v>
      </c>
    </row>
    <row r="112" spans="1:26" s="4" customFormat="1" x14ac:dyDescent="0.3">
      <c r="A112" s="85"/>
      <c r="B112" s="95" t="s">
        <v>282</v>
      </c>
      <c r="C112" s="97"/>
      <c r="D112" s="88"/>
      <c r="E112" s="116"/>
      <c r="F112" s="116">
        <v>30049000</v>
      </c>
      <c r="G112" s="116" t="s">
        <v>4</v>
      </c>
      <c r="H112" s="117">
        <v>572</v>
      </c>
      <c r="I112" s="116" t="s">
        <v>13</v>
      </c>
      <c r="J112" s="91">
        <v>1144</v>
      </c>
      <c r="K112" s="90">
        <v>1687006.19</v>
      </c>
      <c r="L112" s="90">
        <v>0</v>
      </c>
      <c r="M112" s="89" t="s">
        <v>279</v>
      </c>
      <c r="N112" s="89" t="s">
        <v>280</v>
      </c>
      <c r="O112" s="114">
        <v>46010</v>
      </c>
      <c r="P112" s="108" t="s">
        <v>281</v>
      </c>
      <c r="Q112" s="108"/>
      <c r="R112" s="115">
        <v>572</v>
      </c>
      <c r="S112" s="108" t="s">
        <v>13</v>
      </c>
      <c r="T112" s="91">
        <v>1144</v>
      </c>
      <c r="U112" s="90">
        <v>1687006.19</v>
      </c>
      <c r="V112" s="90">
        <v>0</v>
      </c>
      <c r="W112" s="79">
        <f t="shared" si="30"/>
        <v>0</v>
      </c>
      <c r="X112" s="66">
        <f t="shared" si="31"/>
        <v>0</v>
      </c>
      <c r="Y112" s="66">
        <f t="shared" si="32"/>
        <v>0</v>
      </c>
      <c r="Z112" s="67">
        <f t="shared" si="33"/>
        <v>0</v>
      </c>
    </row>
    <row r="113" spans="1:26" x14ac:dyDescent="0.3">
      <c r="A113" s="1"/>
      <c r="B113" s="46"/>
      <c r="C113" s="11"/>
      <c r="D113" s="11"/>
      <c r="E113" s="11"/>
      <c r="F113" s="11"/>
      <c r="G113" s="11"/>
      <c r="H113" s="12"/>
      <c r="I113" s="11"/>
      <c r="J113" s="13"/>
      <c r="K113" s="12"/>
      <c r="L113" s="12"/>
      <c r="M113" s="11"/>
      <c r="N113" s="11"/>
      <c r="O113" s="11"/>
      <c r="P113" s="11"/>
      <c r="Q113" s="11"/>
      <c r="R113" s="12"/>
      <c r="S113" s="11"/>
      <c r="T113" s="13"/>
      <c r="U113" s="12"/>
      <c r="V113" s="12"/>
      <c r="W113" s="134"/>
      <c r="X113" s="68"/>
      <c r="Y113" s="68"/>
      <c r="Z113" s="81"/>
    </row>
    <row r="114" spans="1:26" x14ac:dyDescent="0.3">
      <c r="A114" s="85" t="s">
        <v>36</v>
      </c>
      <c r="B114" s="286" t="s">
        <v>283</v>
      </c>
      <c r="C114" s="284" t="s">
        <v>284</v>
      </c>
      <c r="D114" s="287">
        <v>45905</v>
      </c>
      <c r="E114" s="288" t="s">
        <v>285</v>
      </c>
      <c r="F114" s="288">
        <v>30049000</v>
      </c>
      <c r="G114" s="288" t="s">
        <v>139</v>
      </c>
      <c r="H114" s="292">
        <v>155</v>
      </c>
      <c r="I114" s="288" t="s">
        <v>13</v>
      </c>
      <c r="J114" s="289">
        <v>200</v>
      </c>
      <c r="K114" s="280">
        <v>321278.64</v>
      </c>
      <c r="L114" s="90">
        <v>6676</v>
      </c>
      <c r="M114" s="89" t="s">
        <v>286</v>
      </c>
      <c r="N114" s="89" t="s">
        <v>287</v>
      </c>
      <c r="O114" s="88">
        <v>45954</v>
      </c>
      <c r="P114" s="89" t="s">
        <v>288</v>
      </c>
      <c r="Q114" s="89"/>
      <c r="R114" s="90">
        <v>85</v>
      </c>
      <c r="S114" s="89" t="s">
        <v>13</v>
      </c>
      <c r="T114" s="91">
        <v>80</v>
      </c>
      <c r="U114" s="90">
        <f>(K114*T114)/J114</f>
        <v>128511.45600000002</v>
      </c>
      <c r="V114" s="90">
        <f>SUM(T114*L114/J114)</f>
        <v>2670.4</v>
      </c>
      <c r="W114" s="105">
        <f>J114-T114-T115</f>
        <v>0</v>
      </c>
      <c r="X114" s="72">
        <v>0</v>
      </c>
      <c r="Y114" s="72">
        <f>L114-V114-V115</f>
        <v>0</v>
      </c>
      <c r="Z114" s="105">
        <v>0</v>
      </c>
    </row>
    <row r="115" spans="1:26" x14ac:dyDescent="0.3">
      <c r="A115" s="85"/>
      <c r="B115" s="286"/>
      <c r="C115" s="284"/>
      <c r="D115" s="287"/>
      <c r="E115" s="288"/>
      <c r="F115" s="288"/>
      <c r="G115" s="288"/>
      <c r="H115" s="292"/>
      <c r="I115" s="288"/>
      <c r="J115" s="289"/>
      <c r="K115" s="280"/>
      <c r="L115" s="90"/>
      <c r="M115" s="89" t="s">
        <v>286</v>
      </c>
      <c r="N115" s="89" t="s">
        <v>289</v>
      </c>
      <c r="O115" s="88">
        <v>46013</v>
      </c>
      <c r="P115" s="89" t="s">
        <v>290</v>
      </c>
      <c r="Q115" s="98" t="s">
        <v>291</v>
      </c>
      <c r="R115" s="103">
        <v>70</v>
      </c>
      <c r="S115" s="89" t="s">
        <v>13</v>
      </c>
      <c r="T115" s="91">
        <v>120</v>
      </c>
      <c r="U115" s="90">
        <f>(K114*T115)/J114</f>
        <v>192767.18400000001</v>
      </c>
      <c r="V115" s="90">
        <f>SUM(T115*L114/J114)</f>
        <v>4005.6</v>
      </c>
      <c r="W115" s="105">
        <v>0</v>
      </c>
      <c r="X115" s="72">
        <v>0</v>
      </c>
      <c r="Y115" s="72"/>
      <c r="Z115" s="105">
        <v>0</v>
      </c>
    </row>
    <row r="116" spans="1:26" x14ac:dyDescent="0.3">
      <c r="A116" s="1"/>
      <c r="B116" s="10"/>
      <c r="C116" s="11"/>
      <c r="D116" s="11"/>
      <c r="E116" s="11"/>
      <c r="F116" s="11"/>
      <c r="G116" s="11"/>
      <c r="H116" s="12"/>
      <c r="I116" s="11"/>
      <c r="J116" s="13"/>
      <c r="K116" s="12"/>
      <c r="L116" s="12"/>
      <c r="M116" s="11"/>
      <c r="N116" s="11"/>
      <c r="O116" s="11"/>
      <c r="P116" s="11"/>
      <c r="Q116" s="11"/>
      <c r="R116" s="12"/>
      <c r="S116" s="11"/>
      <c r="T116" s="13"/>
      <c r="U116" s="12"/>
      <c r="V116" s="12"/>
      <c r="W116" s="134"/>
      <c r="X116" s="68"/>
      <c r="Y116" s="68"/>
      <c r="Z116" s="81"/>
    </row>
    <row r="117" spans="1:26" s="4" customFormat="1" x14ac:dyDescent="0.3">
      <c r="A117" s="1" t="s">
        <v>230</v>
      </c>
      <c r="B117" s="14" t="s">
        <v>292</v>
      </c>
      <c r="C117" s="15" t="s">
        <v>293</v>
      </c>
      <c r="D117" s="31">
        <v>45918</v>
      </c>
      <c r="E117" s="32" t="s">
        <v>294</v>
      </c>
      <c r="F117" s="32">
        <v>30049000</v>
      </c>
      <c r="G117" s="32" t="s">
        <v>228</v>
      </c>
      <c r="H117" s="33">
        <v>46</v>
      </c>
      <c r="I117" s="32" t="s">
        <v>13</v>
      </c>
      <c r="J117" s="13">
        <v>605</v>
      </c>
      <c r="K117" s="12">
        <v>175352.66</v>
      </c>
      <c r="L117" s="12">
        <v>3758</v>
      </c>
      <c r="M117" s="11" t="s">
        <v>213</v>
      </c>
      <c r="N117" s="11" t="s">
        <v>295</v>
      </c>
      <c r="O117" s="16">
        <v>45986</v>
      </c>
      <c r="P117" s="43" t="s">
        <v>296</v>
      </c>
      <c r="Q117" s="78" t="s">
        <v>297</v>
      </c>
      <c r="R117" s="44">
        <v>46</v>
      </c>
      <c r="S117" s="43" t="s">
        <v>13</v>
      </c>
      <c r="T117" s="45">
        <v>500</v>
      </c>
      <c r="U117" s="44">
        <f>(T117*K117)/J117</f>
        <v>144919.55371900825</v>
      </c>
      <c r="V117" s="121">
        <f>SUM(T117*L117/J117)</f>
        <v>3105.7851239669421</v>
      </c>
      <c r="W117" s="79">
        <f>J117-T117</f>
        <v>105</v>
      </c>
      <c r="X117" s="66">
        <f>K117-U117</f>
        <v>30433.106280991749</v>
      </c>
      <c r="Y117" s="66">
        <f>L117-V117</f>
        <v>652.21487603305786</v>
      </c>
      <c r="Z117" s="72">
        <f>H117-R117</f>
        <v>0</v>
      </c>
    </row>
    <row r="118" spans="1:26" x14ac:dyDescent="0.3">
      <c r="A118" s="1"/>
      <c r="B118" s="10"/>
      <c r="C118" s="11"/>
      <c r="D118" s="11"/>
      <c r="E118" s="11"/>
      <c r="F118" s="11"/>
      <c r="G118" s="11"/>
      <c r="H118" s="12"/>
      <c r="I118" s="11"/>
      <c r="J118" s="13"/>
      <c r="K118" s="12"/>
      <c r="L118" s="12"/>
      <c r="M118" s="11"/>
      <c r="N118" s="11"/>
      <c r="O118" s="11"/>
      <c r="P118" s="11"/>
      <c r="Q118" s="138"/>
      <c r="R118" s="82"/>
      <c r="S118" s="138"/>
      <c r="T118" s="13"/>
      <c r="U118" s="12"/>
      <c r="V118" s="12"/>
      <c r="W118" s="134"/>
      <c r="X118" s="68"/>
      <c r="Y118" s="68"/>
      <c r="Z118" s="81"/>
    </row>
    <row r="119" spans="1:26" s="4" customFormat="1" x14ac:dyDescent="0.3">
      <c r="A119" s="106" t="s">
        <v>298</v>
      </c>
      <c r="B119" s="86" t="s">
        <v>299</v>
      </c>
      <c r="C119" s="87" t="s">
        <v>300</v>
      </c>
      <c r="D119" s="114">
        <v>45925</v>
      </c>
      <c r="E119" s="108" t="s">
        <v>301</v>
      </c>
      <c r="F119" s="108">
        <v>30049000</v>
      </c>
      <c r="G119" s="108" t="s">
        <v>90</v>
      </c>
      <c r="H119" s="115">
        <v>12.5</v>
      </c>
      <c r="I119" s="108" t="s">
        <v>13</v>
      </c>
      <c r="J119" s="91">
        <v>6250</v>
      </c>
      <c r="K119" s="90">
        <v>1124679.83</v>
      </c>
      <c r="L119" s="90">
        <v>22744</v>
      </c>
      <c r="M119" s="89" t="s">
        <v>213</v>
      </c>
      <c r="N119" s="89" t="s">
        <v>302</v>
      </c>
      <c r="O119" s="88">
        <v>45986</v>
      </c>
      <c r="P119" s="89" t="s">
        <v>303</v>
      </c>
      <c r="Q119" s="112" t="s">
        <v>304</v>
      </c>
      <c r="R119" s="115">
        <v>12.5</v>
      </c>
      <c r="S119" s="108" t="s">
        <v>13</v>
      </c>
      <c r="T119" s="91">
        <v>6250</v>
      </c>
      <c r="U119" s="90">
        <v>1124679.83</v>
      </c>
      <c r="V119" s="90">
        <v>22744</v>
      </c>
      <c r="W119" s="105">
        <v>0</v>
      </c>
      <c r="X119" s="72">
        <v>0</v>
      </c>
      <c r="Y119" s="72">
        <f>L119-V119</f>
        <v>0</v>
      </c>
      <c r="Z119" s="105">
        <v>0</v>
      </c>
    </row>
    <row r="120" spans="1:26" x14ac:dyDescent="0.3">
      <c r="A120" s="1"/>
      <c r="B120" s="10"/>
      <c r="C120" s="11"/>
      <c r="D120" s="11"/>
      <c r="E120" s="11"/>
      <c r="F120" s="11"/>
      <c r="G120" s="11"/>
      <c r="H120" s="12"/>
      <c r="I120" s="11"/>
      <c r="J120" s="13"/>
      <c r="K120" s="12"/>
      <c r="L120" s="12"/>
      <c r="M120" s="11"/>
      <c r="N120" s="11"/>
      <c r="O120" s="11"/>
      <c r="P120" s="11"/>
      <c r="Q120" s="138"/>
      <c r="R120" s="82"/>
      <c r="S120" s="138"/>
      <c r="T120" s="13"/>
      <c r="U120" s="12"/>
      <c r="V120" s="12"/>
      <c r="W120" s="134"/>
      <c r="X120" s="68"/>
      <c r="Y120" s="68"/>
      <c r="Z120" s="81"/>
    </row>
    <row r="121" spans="1:26" x14ac:dyDescent="0.3">
      <c r="A121" s="281" t="s">
        <v>305</v>
      </c>
      <c r="B121" s="290" t="s">
        <v>306</v>
      </c>
      <c r="C121" s="284" t="s">
        <v>307</v>
      </c>
      <c r="D121" s="291">
        <v>45943</v>
      </c>
      <c r="E121" s="288" t="s">
        <v>308</v>
      </c>
      <c r="F121" s="288">
        <v>39269090</v>
      </c>
      <c r="G121" s="288" t="s">
        <v>12</v>
      </c>
      <c r="H121" s="292">
        <v>15</v>
      </c>
      <c r="I121" s="288" t="s">
        <v>13</v>
      </c>
      <c r="J121" s="289">
        <v>5000</v>
      </c>
      <c r="K121" s="280">
        <v>15741.39</v>
      </c>
      <c r="L121" s="90">
        <v>7650</v>
      </c>
      <c r="M121" s="89" t="s">
        <v>309</v>
      </c>
      <c r="N121" s="89" t="s">
        <v>310</v>
      </c>
      <c r="O121" s="88">
        <v>46000</v>
      </c>
      <c r="P121" s="89" t="s">
        <v>311</v>
      </c>
      <c r="Q121" s="282" t="s">
        <v>312</v>
      </c>
      <c r="R121" s="90">
        <v>1</v>
      </c>
      <c r="S121" s="89" t="s">
        <v>13</v>
      </c>
      <c r="T121" s="91">
        <v>50</v>
      </c>
      <c r="U121" s="280">
        <v>15741.39</v>
      </c>
      <c r="V121" s="90">
        <f>SUM(T121*L121/J121)</f>
        <v>76.5</v>
      </c>
      <c r="W121" s="105">
        <v>0</v>
      </c>
      <c r="X121" s="72">
        <v>0</v>
      </c>
      <c r="Y121" s="72">
        <f>L121-V121-V122</f>
        <v>0</v>
      </c>
      <c r="Z121" s="105">
        <v>0</v>
      </c>
    </row>
    <row r="122" spans="1:26" x14ac:dyDescent="0.3">
      <c r="A122" s="281"/>
      <c r="B122" s="290"/>
      <c r="C122" s="284"/>
      <c r="D122" s="291"/>
      <c r="E122" s="288"/>
      <c r="F122" s="288"/>
      <c r="G122" s="288"/>
      <c r="H122" s="292"/>
      <c r="I122" s="288"/>
      <c r="J122" s="289"/>
      <c r="K122" s="280"/>
      <c r="L122" s="90"/>
      <c r="M122" s="89" t="s">
        <v>309</v>
      </c>
      <c r="N122" s="89" t="s">
        <v>310</v>
      </c>
      <c r="O122" s="88">
        <v>46094</v>
      </c>
      <c r="P122" s="89" t="s">
        <v>313</v>
      </c>
      <c r="Q122" s="282"/>
      <c r="R122" s="90">
        <v>14</v>
      </c>
      <c r="S122" s="89" t="s">
        <v>13</v>
      </c>
      <c r="T122" s="91">
        <v>4950</v>
      </c>
      <c r="U122" s="280"/>
      <c r="V122" s="90">
        <f>SUM(T122*L121/J121)</f>
        <v>7573.5</v>
      </c>
      <c r="W122" s="105">
        <v>0</v>
      </c>
      <c r="X122" s="72">
        <v>0</v>
      </c>
      <c r="Y122" s="72"/>
      <c r="Z122" s="105">
        <v>0</v>
      </c>
    </row>
    <row r="123" spans="1:26" x14ac:dyDescent="0.3">
      <c r="A123" s="1"/>
      <c r="B123" s="10"/>
      <c r="C123" s="11"/>
      <c r="D123" s="11"/>
      <c r="E123" s="11"/>
      <c r="F123" s="11"/>
      <c r="G123" s="11"/>
      <c r="H123" s="12"/>
      <c r="I123" s="11"/>
      <c r="J123" s="13"/>
      <c r="K123" s="12"/>
      <c r="L123" s="12"/>
      <c r="M123" s="11"/>
      <c r="N123" s="11"/>
      <c r="O123" s="11"/>
      <c r="P123" s="11"/>
      <c r="Q123" s="11"/>
      <c r="R123" s="12"/>
      <c r="S123" s="11"/>
      <c r="T123" s="13"/>
      <c r="U123" s="12"/>
      <c r="V123" s="12"/>
      <c r="W123" s="134"/>
      <c r="X123" s="68"/>
      <c r="Y123" s="68"/>
      <c r="Z123" s="81"/>
    </row>
    <row r="124" spans="1:26" x14ac:dyDescent="0.3">
      <c r="A124" s="106" t="s">
        <v>314</v>
      </c>
      <c r="B124" s="86" t="s">
        <v>315</v>
      </c>
      <c r="C124" s="87" t="s">
        <v>316</v>
      </c>
      <c r="D124" s="114">
        <v>45937</v>
      </c>
      <c r="E124" s="108" t="s">
        <v>317</v>
      </c>
      <c r="F124" s="108">
        <v>90301000</v>
      </c>
      <c r="G124" s="108" t="s">
        <v>154</v>
      </c>
      <c r="H124" s="115">
        <v>50</v>
      </c>
      <c r="I124" s="108" t="s">
        <v>5</v>
      </c>
      <c r="J124" s="99">
        <v>50</v>
      </c>
      <c r="K124" s="100">
        <v>196767.72</v>
      </c>
      <c r="L124" s="100">
        <v>35669</v>
      </c>
      <c r="M124" s="89" t="s">
        <v>318</v>
      </c>
      <c r="N124" s="89" t="s">
        <v>319</v>
      </c>
      <c r="O124" s="88">
        <v>46139</v>
      </c>
      <c r="P124" s="89" t="s">
        <v>320</v>
      </c>
      <c r="Q124" s="89"/>
      <c r="R124" s="90">
        <v>50</v>
      </c>
      <c r="S124" s="89" t="s">
        <v>5</v>
      </c>
      <c r="T124" s="91">
        <v>50</v>
      </c>
      <c r="U124" s="100">
        <v>196767.72</v>
      </c>
      <c r="V124" s="100">
        <v>35669</v>
      </c>
      <c r="W124" s="79">
        <f>SUM(J124-T124)</f>
        <v>0</v>
      </c>
      <c r="X124" s="66">
        <f>SUM(K124-U124)</f>
        <v>0</v>
      </c>
      <c r="Y124" s="66">
        <f>L124-V124</f>
        <v>0</v>
      </c>
      <c r="Z124" s="67">
        <f>SUM(H124-R124)</f>
        <v>0</v>
      </c>
    </row>
    <row r="125" spans="1:26" x14ac:dyDescent="0.3">
      <c r="A125" s="1"/>
      <c r="B125" s="10"/>
      <c r="C125" s="11"/>
      <c r="D125" s="11"/>
      <c r="E125" s="11"/>
      <c r="F125" s="11"/>
      <c r="G125" s="11"/>
      <c r="H125" s="12"/>
      <c r="I125" s="11"/>
      <c r="J125" s="13"/>
      <c r="K125" s="12"/>
      <c r="L125" s="12"/>
      <c r="M125" s="11"/>
      <c r="N125" s="11"/>
      <c r="O125" s="11"/>
      <c r="P125" s="11"/>
      <c r="Q125" s="11"/>
      <c r="R125" s="12"/>
      <c r="S125" s="11"/>
      <c r="T125" s="13"/>
      <c r="U125" s="12"/>
      <c r="V125" s="12"/>
      <c r="W125" s="134"/>
      <c r="X125" s="68"/>
      <c r="Y125" s="68"/>
      <c r="Z125" s="81"/>
    </row>
    <row r="126" spans="1:26" x14ac:dyDescent="0.3">
      <c r="A126" s="106" t="s">
        <v>242</v>
      </c>
      <c r="B126" s="86" t="s">
        <v>321</v>
      </c>
      <c r="C126" s="87" t="s">
        <v>322</v>
      </c>
      <c r="D126" s="114">
        <v>45968</v>
      </c>
      <c r="E126" s="108" t="s">
        <v>323</v>
      </c>
      <c r="F126" s="108">
        <v>30049000</v>
      </c>
      <c r="G126" s="108" t="s">
        <v>4</v>
      </c>
      <c r="H126" s="115">
        <v>446</v>
      </c>
      <c r="I126" s="108" t="s">
        <v>13</v>
      </c>
      <c r="J126" s="91">
        <v>2000</v>
      </c>
      <c r="K126" s="90">
        <v>782333.22</v>
      </c>
      <c r="L126" s="90">
        <v>15897</v>
      </c>
      <c r="M126" s="89" t="s">
        <v>309</v>
      </c>
      <c r="N126" s="89" t="s">
        <v>310</v>
      </c>
      <c r="O126" s="88">
        <v>46000</v>
      </c>
      <c r="P126" s="89" t="s">
        <v>324</v>
      </c>
      <c r="Q126" s="98" t="s">
        <v>325</v>
      </c>
      <c r="R126" s="115">
        <v>446</v>
      </c>
      <c r="S126" s="108" t="s">
        <v>13</v>
      </c>
      <c r="T126" s="91">
        <v>2000</v>
      </c>
      <c r="U126" s="90">
        <v>782333.22</v>
      </c>
      <c r="V126" s="90">
        <v>15897</v>
      </c>
      <c r="W126" s="105">
        <v>0</v>
      </c>
      <c r="X126" s="72">
        <v>0</v>
      </c>
      <c r="Y126" s="72">
        <f>L126-V126</f>
        <v>0</v>
      </c>
      <c r="Z126" s="105">
        <v>0</v>
      </c>
    </row>
    <row r="127" spans="1:26" x14ac:dyDescent="0.3">
      <c r="A127" s="1"/>
      <c r="B127" s="10"/>
      <c r="C127" s="11"/>
      <c r="D127" s="11"/>
      <c r="E127" s="11"/>
      <c r="F127" s="11"/>
      <c r="G127" s="11"/>
      <c r="H127" s="12"/>
      <c r="I127" s="11"/>
      <c r="J127" s="13"/>
      <c r="K127" s="12"/>
      <c r="L127" s="12"/>
      <c r="M127" s="11"/>
      <c r="N127" s="11"/>
      <c r="O127" s="11"/>
      <c r="P127" s="11"/>
      <c r="Q127" s="11"/>
      <c r="R127" s="12"/>
      <c r="S127" s="11"/>
      <c r="T127" s="13"/>
      <c r="U127" s="12"/>
      <c r="V127" s="12"/>
      <c r="W127" s="134"/>
      <c r="X127" s="68"/>
      <c r="Y127" s="68"/>
      <c r="Z127" s="81"/>
    </row>
    <row r="128" spans="1:26" x14ac:dyDescent="0.3">
      <c r="A128" s="1" t="s">
        <v>326</v>
      </c>
      <c r="B128" s="29" t="s">
        <v>327</v>
      </c>
      <c r="C128" s="34" t="s">
        <v>328</v>
      </c>
      <c r="D128" s="35">
        <v>45961</v>
      </c>
      <c r="E128" s="36" t="s">
        <v>329</v>
      </c>
      <c r="F128" s="36">
        <v>96190010</v>
      </c>
      <c r="G128" s="36" t="s">
        <v>4</v>
      </c>
      <c r="H128" s="37">
        <v>2255</v>
      </c>
      <c r="I128" s="36" t="s">
        <v>13</v>
      </c>
      <c r="J128" s="24">
        <v>4100</v>
      </c>
      <c r="K128" s="23">
        <v>1711523.89</v>
      </c>
      <c r="L128" s="23">
        <v>0</v>
      </c>
      <c r="M128" s="22" t="s">
        <v>330</v>
      </c>
      <c r="N128" s="22" t="s">
        <v>331</v>
      </c>
      <c r="O128" s="21">
        <v>46227</v>
      </c>
      <c r="P128" s="22" t="s">
        <v>332</v>
      </c>
      <c r="Q128" s="22"/>
      <c r="R128" s="23">
        <v>257.5</v>
      </c>
      <c r="S128" s="22" t="s">
        <v>13</v>
      </c>
      <c r="T128" s="24">
        <v>500</v>
      </c>
      <c r="U128" s="12">
        <f>(K128*T128)/J128</f>
        <v>208722.42560975609</v>
      </c>
      <c r="V128" s="12">
        <f>(T128*L128)/J128</f>
        <v>0</v>
      </c>
      <c r="W128" s="79">
        <f>J128-T128</f>
        <v>3600</v>
      </c>
      <c r="X128" s="66">
        <v>1711523.89</v>
      </c>
      <c r="Y128" s="66">
        <f>K128-X128</f>
        <v>0</v>
      </c>
      <c r="Z128" s="67">
        <v>2255</v>
      </c>
    </row>
    <row r="129" spans="1:26" x14ac:dyDescent="0.3">
      <c r="A129" s="1"/>
      <c r="B129" s="10"/>
      <c r="C129" s="11"/>
      <c r="D129" s="11"/>
      <c r="E129" s="11"/>
      <c r="F129" s="11"/>
      <c r="G129" s="11"/>
      <c r="H129" s="12"/>
      <c r="I129" s="11"/>
      <c r="J129" s="13"/>
      <c r="K129" s="12"/>
      <c r="L129" s="12"/>
      <c r="M129" s="11"/>
      <c r="N129" s="11"/>
      <c r="O129" s="11"/>
      <c r="P129" s="11"/>
      <c r="Q129" s="11"/>
      <c r="R129" s="12"/>
      <c r="S129" s="11"/>
      <c r="T129" s="13"/>
      <c r="U129" s="12"/>
      <c r="V129" s="12"/>
      <c r="W129" s="134"/>
      <c r="X129" s="68"/>
      <c r="Y129" s="68"/>
      <c r="Z129" s="81"/>
    </row>
    <row r="130" spans="1:26" x14ac:dyDescent="0.3">
      <c r="A130" s="85" t="s">
        <v>333</v>
      </c>
      <c r="B130" s="95" t="s">
        <v>334</v>
      </c>
      <c r="C130" s="97" t="s">
        <v>335</v>
      </c>
      <c r="D130" s="88">
        <v>45982</v>
      </c>
      <c r="E130" s="116" t="s">
        <v>336</v>
      </c>
      <c r="F130" s="116">
        <v>96039000</v>
      </c>
      <c r="G130" s="89" t="s">
        <v>4</v>
      </c>
      <c r="H130" s="117">
        <v>60</v>
      </c>
      <c r="I130" s="116" t="s">
        <v>5</v>
      </c>
      <c r="J130" s="91">
        <v>60</v>
      </c>
      <c r="K130" s="90">
        <v>93000</v>
      </c>
      <c r="L130" s="90">
        <v>0</v>
      </c>
      <c r="M130" s="89" t="s">
        <v>337</v>
      </c>
      <c r="N130" s="89" t="s">
        <v>338</v>
      </c>
      <c r="O130" s="283">
        <v>46086</v>
      </c>
      <c r="P130" s="284" t="s">
        <v>339</v>
      </c>
      <c r="Q130" s="285" t="s">
        <v>340</v>
      </c>
      <c r="R130" s="117">
        <v>60</v>
      </c>
      <c r="S130" s="116" t="s">
        <v>5</v>
      </c>
      <c r="T130" s="91">
        <v>60</v>
      </c>
      <c r="U130" s="90">
        <v>93000</v>
      </c>
      <c r="V130" s="90">
        <v>0</v>
      </c>
      <c r="W130" s="105">
        <v>0</v>
      </c>
      <c r="X130" s="72">
        <v>0</v>
      </c>
      <c r="Y130" s="72">
        <f>L130-V130</f>
        <v>0</v>
      </c>
      <c r="Z130" s="105">
        <v>0</v>
      </c>
    </row>
    <row r="131" spans="1:26" x14ac:dyDescent="0.3">
      <c r="A131" s="85"/>
      <c r="B131" s="95" t="s">
        <v>341</v>
      </c>
      <c r="C131" s="97"/>
      <c r="D131" s="88"/>
      <c r="E131" s="116"/>
      <c r="F131" s="116">
        <v>40151900</v>
      </c>
      <c r="G131" s="89" t="s">
        <v>4</v>
      </c>
      <c r="H131" s="117">
        <v>18</v>
      </c>
      <c r="I131" s="116" t="s">
        <v>13</v>
      </c>
      <c r="J131" s="91">
        <v>30</v>
      </c>
      <c r="K131" s="90">
        <v>15000</v>
      </c>
      <c r="L131" s="90">
        <v>0</v>
      </c>
      <c r="M131" s="89" t="s">
        <v>337</v>
      </c>
      <c r="N131" s="89" t="s">
        <v>338</v>
      </c>
      <c r="O131" s="283"/>
      <c r="P131" s="284"/>
      <c r="Q131" s="285"/>
      <c r="R131" s="117">
        <v>18</v>
      </c>
      <c r="S131" s="116" t="s">
        <v>13</v>
      </c>
      <c r="T131" s="91">
        <v>30</v>
      </c>
      <c r="U131" s="90">
        <v>15000</v>
      </c>
      <c r="V131" s="90">
        <v>0</v>
      </c>
      <c r="W131" s="105">
        <v>0</v>
      </c>
      <c r="X131" s="72">
        <v>0</v>
      </c>
      <c r="Y131" s="72">
        <f t="shared" ref="Y131:Y132" si="34">L131-V131</f>
        <v>0</v>
      </c>
      <c r="Z131" s="105">
        <v>0</v>
      </c>
    </row>
    <row r="132" spans="1:26" x14ac:dyDescent="0.3">
      <c r="A132" s="85"/>
      <c r="B132" s="95" t="s">
        <v>342</v>
      </c>
      <c r="C132" s="97"/>
      <c r="D132" s="88"/>
      <c r="E132" s="116"/>
      <c r="F132" s="116">
        <v>90183900</v>
      </c>
      <c r="G132" s="89" t="s">
        <v>4</v>
      </c>
      <c r="H132" s="117">
        <v>3000</v>
      </c>
      <c r="I132" s="116" t="s">
        <v>5</v>
      </c>
      <c r="J132" s="91">
        <v>3000</v>
      </c>
      <c r="K132" s="90">
        <v>38055</v>
      </c>
      <c r="L132" s="90">
        <v>0</v>
      </c>
      <c r="M132" s="89" t="s">
        <v>337</v>
      </c>
      <c r="N132" s="89" t="s">
        <v>338</v>
      </c>
      <c r="O132" s="283"/>
      <c r="P132" s="284"/>
      <c r="Q132" s="285"/>
      <c r="R132" s="117">
        <v>3000</v>
      </c>
      <c r="S132" s="116" t="s">
        <v>5</v>
      </c>
      <c r="T132" s="91">
        <v>3000</v>
      </c>
      <c r="U132" s="90">
        <v>38055</v>
      </c>
      <c r="V132" s="90">
        <v>0</v>
      </c>
      <c r="W132" s="105">
        <v>0</v>
      </c>
      <c r="X132" s="72">
        <v>0</v>
      </c>
      <c r="Y132" s="72">
        <f t="shared" si="34"/>
        <v>0</v>
      </c>
      <c r="Z132" s="105">
        <v>0</v>
      </c>
    </row>
    <row r="133" spans="1:26" x14ac:dyDescent="0.3">
      <c r="A133" s="1"/>
      <c r="B133" s="10"/>
      <c r="C133" s="11"/>
      <c r="D133" s="11"/>
      <c r="E133" s="11"/>
      <c r="F133" s="11"/>
      <c r="G133" s="11"/>
      <c r="H133" s="12"/>
      <c r="I133" s="11"/>
      <c r="J133" s="13"/>
      <c r="K133" s="12"/>
      <c r="L133" s="12"/>
      <c r="M133" s="11"/>
      <c r="N133" s="11"/>
      <c r="O133" s="11"/>
      <c r="P133" s="11"/>
      <c r="Q133" s="11"/>
      <c r="R133" s="12"/>
      <c r="S133" s="11"/>
      <c r="T133" s="13"/>
      <c r="U133" s="12"/>
      <c r="V133" s="12"/>
      <c r="W133" s="134"/>
      <c r="X133" s="68"/>
      <c r="Y133" s="68"/>
      <c r="Z133" s="81"/>
    </row>
    <row r="134" spans="1:26" x14ac:dyDescent="0.3">
      <c r="A134" s="85" t="s">
        <v>343</v>
      </c>
      <c r="B134" s="118" t="s">
        <v>344</v>
      </c>
      <c r="C134" s="97" t="s">
        <v>345</v>
      </c>
      <c r="D134" s="88">
        <v>45981</v>
      </c>
      <c r="E134" s="89" t="s">
        <v>346</v>
      </c>
      <c r="F134" s="89">
        <v>48201000</v>
      </c>
      <c r="G134" s="89" t="s">
        <v>4</v>
      </c>
      <c r="H134" s="90">
        <v>12</v>
      </c>
      <c r="I134" s="89" t="s">
        <v>13</v>
      </c>
      <c r="J134" s="91">
        <v>30</v>
      </c>
      <c r="K134" s="90">
        <v>5400</v>
      </c>
      <c r="L134" s="90">
        <v>0</v>
      </c>
      <c r="M134" s="89" t="s">
        <v>337</v>
      </c>
      <c r="N134" s="89" t="s">
        <v>338</v>
      </c>
      <c r="O134" s="283">
        <v>46086</v>
      </c>
      <c r="P134" s="284" t="s">
        <v>339</v>
      </c>
      <c r="Q134" s="285" t="s">
        <v>340</v>
      </c>
      <c r="R134" s="90">
        <v>12</v>
      </c>
      <c r="S134" s="89" t="s">
        <v>13</v>
      </c>
      <c r="T134" s="91">
        <v>30</v>
      </c>
      <c r="U134" s="90">
        <v>5400</v>
      </c>
      <c r="V134" s="90">
        <v>0</v>
      </c>
      <c r="W134" s="105">
        <v>0</v>
      </c>
      <c r="X134" s="72">
        <v>0</v>
      </c>
      <c r="Y134" s="72">
        <f>L134-V134</f>
        <v>0</v>
      </c>
      <c r="Z134" s="105">
        <v>0</v>
      </c>
    </row>
    <row r="135" spans="1:26" x14ac:dyDescent="0.3">
      <c r="A135" s="85"/>
      <c r="B135" s="95" t="s">
        <v>347</v>
      </c>
      <c r="C135" s="97"/>
      <c r="D135" s="88"/>
      <c r="E135" s="89"/>
      <c r="F135" s="89">
        <v>39241000</v>
      </c>
      <c r="G135" s="89" t="s">
        <v>4</v>
      </c>
      <c r="H135" s="90">
        <v>13</v>
      </c>
      <c r="I135" s="89" t="s">
        <v>13</v>
      </c>
      <c r="J135" s="91">
        <v>300</v>
      </c>
      <c r="K135" s="90">
        <v>5700</v>
      </c>
      <c r="L135" s="90">
        <v>0</v>
      </c>
      <c r="M135" s="89" t="s">
        <v>337</v>
      </c>
      <c r="N135" s="89" t="s">
        <v>338</v>
      </c>
      <c r="O135" s="283"/>
      <c r="P135" s="284"/>
      <c r="Q135" s="285"/>
      <c r="R135" s="90">
        <v>13</v>
      </c>
      <c r="S135" s="89" t="s">
        <v>13</v>
      </c>
      <c r="T135" s="91">
        <v>300</v>
      </c>
      <c r="U135" s="90">
        <v>5700</v>
      </c>
      <c r="V135" s="90">
        <v>0</v>
      </c>
      <c r="W135" s="105">
        <v>0</v>
      </c>
      <c r="X135" s="72">
        <v>0</v>
      </c>
      <c r="Y135" s="72">
        <f t="shared" ref="Y135:Y151" si="35">L135-V135</f>
        <v>0</v>
      </c>
      <c r="Z135" s="105">
        <v>0</v>
      </c>
    </row>
    <row r="136" spans="1:26" x14ac:dyDescent="0.3">
      <c r="A136" s="85"/>
      <c r="B136" s="95" t="s">
        <v>348</v>
      </c>
      <c r="C136" s="97"/>
      <c r="D136" s="88"/>
      <c r="E136" s="89"/>
      <c r="F136" s="89">
        <v>39241000</v>
      </c>
      <c r="G136" s="89" t="s">
        <v>4</v>
      </c>
      <c r="H136" s="90">
        <v>10</v>
      </c>
      <c r="I136" s="89" t="s">
        <v>13</v>
      </c>
      <c r="J136" s="91">
        <v>300</v>
      </c>
      <c r="K136" s="90">
        <v>7500</v>
      </c>
      <c r="L136" s="90">
        <v>0</v>
      </c>
      <c r="M136" s="89" t="s">
        <v>337</v>
      </c>
      <c r="N136" s="89" t="s">
        <v>338</v>
      </c>
      <c r="O136" s="283"/>
      <c r="P136" s="284"/>
      <c r="Q136" s="285"/>
      <c r="R136" s="90">
        <v>10</v>
      </c>
      <c r="S136" s="89" t="s">
        <v>13</v>
      </c>
      <c r="T136" s="91">
        <v>300</v>
      </c>
      <c r="U136" s="90">
        <v>7500</v>
      </c>
      <c r="V136" s="90">
        <v>0</v>
      </c>
      <c r="W136" s="105">
        <v>0</v>
      </c>
      <c r="X136" s="72">
        <v>0</v>
      </c>
      <c r="Y136" s="72">
        <f t="shared" si="35"/>
        <v>0</v>
      </c>
      <c r="Z136" s="105">
        <v>0</v>
      </c>
    </row>
    <row r="137" spans="1:26" x14ac:dyDescent="0.3">
      <c r="A137" s="85"/>
      <c r="B137" s="95" t="s">
        <v>349</v>
      </c>
      <c r="C137" s="97"/>
      <c r="D137" s="88"/>
      <c r="E137" s="89"/>
      <c r="F137" s="89">
        <v>39241000</v>
      </c>
      <c r="G137" s="89" t="s">
        <v>4</v>
      </c>
      <c r="H137" s="90">
        <v>2</v>
      </c>
      <c r="I137" s="89" t="s">
        <v>13</v>
      </c>
      <c r="J137" s="91">
        <v>600</v>
      </c>
      <c r="K137" s="90">
        <v>1800</v>
      </c>
      <c r="L137" s="90">
        <v>0</v>
      </c>
      <c r="M137" s="89" t="s">
        <v>337</v>
      </c>
      <c r="N137" s="89" t="s">
        <v>338</v>
      </c>
      <c r="O137" s="283"/>
      <c r="P137" s="284"/>
      <c r="Q137" s="285"/>
      <c r="R137" s="90">
        <v>2</v>
      </c>
      <c r="S137" s="89" t="s">
        <v>13</v>
      </c>
      <c r="T137" s="91">
        <v>600</v>
      </c>
      <c r="U137" s="90">
        <v>1800</v>
      </c>
      <c r="V137" s="90">
        <v>0</v>
      </c>
      <c r="W137" s="105">
        <v>0</v>
      </c>
      <c r="X137" s="72">
        <v>0</v>
      </c>
      <c r="Y137" s="72">
        <f t="shared" si="35"/>
        <v>0</v>
      </c>
      <c r="Z137" s="105">
        <v>0</v>
      </c>
    </row>
    <row r="138" spans="1:26" x14ac:dyDescent="0.3">
      <c r="A138" s="85"/>
      <c r="B138" s="95" t="s">
        <v>350</v>
      </c>
      <c r="C138" s="97"/>
      <c r="D138" s="88"/>
      <c r="E138" s="89"/>
      <c r="F138" s="89">
        <v>39241000</v>
      </c>
      <c r="G138" s="89" t="s">
        <v>4</v>
      </c>
      <c r="H138" s="90">
        <v>11</v>
      </c>
      <c r="I138" s="89" t="s">
        <v>13</v>
      </c>
      <c r="J138" s="91">
        <v>210</v>
      </c>
      <c r="K138" s="90">
        <v>5670</v>
      </c>
      <c r="L138" s="90">
        <v>0</v>
      </c>
      <c r="M138" s="89" t="s">
        <v>337</v>
      </c>
      <c r="N138" s="89" t="s">
        <v>338</v>
      </c>
      <c r="O138" s="283"/>
      <c r="P138" s="284"/>
      <c r="Q138" s="285"/>
      <c r="R138" s="90">
        <v>11</v>
      </c>
      <c r="S138" s="89" t="s">
        <v>13</v>
      </c>
      <c r="T138" s="91">
        <v>210</v>
      </c>
      <c r="U138" s="90">
        <v>5670</v>
      </c>
      <c r="V138" s="90">
        <v>0</v>
      </c>
      <c r="W138" s="105">
        <v>0</v>
      </c>
      <c r="X138" s="72">
        <v>0</v>
      </c>
      <c r="Y138" s="72">
        <f t="shared" si="35"/>
        <v>0</v>
      </c>
      <c r="Z138" s="105">
        <v>0</v>
      </c>
    </row>
    <row r="139" spans="1:26" x14ac:dyDescent="0.3">
      <c r="A139" s="85"/>
      <c r="B139" s="95" t="s">
        <v>351</v>
      </c>
      <c r="C139" s="97"/>
      <c r="D139" s="88"/>
      <c r="E139" s="89"/>
      <c r="F139" s="89">
        <v>39241000</v>
      </c>
      <c r="G139" s="89" t="s">
        <v>4</v>
      </c>
      <c r="H139" s="90">
        <v>170</v>
      </c>
      <c r="I139" s="89" t="s">
        <v>13</v>
      </c>
      <c r="J139" s="91">
        <v>210</v>
      </c>
      <c r="K139" s="90">
        <v>82950</v>
      </c>
      <c r="L139" s="90">
        <v>0</v>
      </c>
      <c r="M139" s="89" t="s">
        <v>337</v>
      </c>
      <c r="N139" s="89" t="s">
        <v>338</v>
      </c>
      <c r="O139" s="283"/>
      <c r="P139" s="284"/>
      <c r="Q139" s="285"/>
      <c r="R139" s="90">
        <v>170</v>
      </c>
      <c r="S139" s="89" t="s">
        <v>13</v>
      </c>
      <c r="T139" s="91">
        <v>210</v>
      </c>
      <c r="U139" s="90">
        <v>82950</v>
      </c>
      <c r="V139" s="90">
        <v>0</v>
      </c>
      <c r="W139" s="105">
        <v>0</v>
      </c>
      <c r="X139" s="72">
        <v>0</v>
      </c>
      <c r="Y139" s="72">
        <f t="shared" si="35"/>
        <v>0</v>
      </c>
      <c r="Z139" s="105">
        <v>0</v>
      </c>
    </row>
    <row r="140" spans="1:26" x14ac:dyDescent="0.3">
      <c r="A140" s="85"/>
      <c r="B140" s="95" t="s">
        <v>352</v>
      </c>
      <c r="C140" s="97"/>
      <c r="D140" s="88"/>
      <c r="E140" s="89"/>
      <c r="F140" s="89">
        <v>39241000</v>
      </c>
      <c r="G140" s="89" t="s">
        <v>4</v>
      </c>
      <c r="H140" s="90">
        <v>16</v>
      </c>
      <c r="I140" s="89" t="s">
        <v>13</v>
      </c>
      <c r="J140" s="91">
        <v>60</v>
      </c>
      <c r="K140" s="90">
        <v>11400</v>
      </c>
      <c r="L140" s="90">
        <v>0</v>
      </c>
      <c r="M140" s="89" t="s">
        <v>337</v>
      </c>
      <c r="N140" s="89" t="s">
        <v>338</v>
      </c>
      <c r="O140" s="283"/>
      <c r="P140" s="284"/>
      <c r="Q140" s="285"/>
      <c r="R140" s="90">
        <v>16</v>
      </c>
      <c r="S140" s="89" t="s">
        <v>13</v>
      </c>
      <c r="T140" s="91">
        <v>60</v>
      </c>
      <c r="U140" s="90">
        <v>11400</v>
      </c>
      <c r="V140" s="90">
        <v>0</v>
      </c>
      <c r="W140" s="105">
        <v>0</v>
      </c>
      <c r="X140" s="72">
        <v>0</v>
      </c>
      <c r="Y140" s="72">
        <f t="shared" si="35"/>
        <v>0</v>
      </c>
      <c r="Z140" s="105">
        <v>0</v>
      </c>
    </row>
    <row r="141" spans="1:26" x14ac:dyDescent="0.3">
      <c r="A141" s="85"/>
      <c r="B141" s="95" t="s">
        <v>353</v>
      </c>
      <c r="C141" s="97"/>
      <c r="D141" s="88"/>
      <c r="E141" s="89"/>
      <c r="F141" s="89">
        <v>39269090</v>
      </c>
      <c r="G141" s="89" t="s">
        <v>4</v>
      </c>
      <c r="H141" s="90">
        <v>8</v>
      </c>
      <c r="I141" s="89" t="s">
        <v>13</v>
      </c>
      <c r="J141" s="91">
        <v>30</v>
      </c>
      <c r="K141" s="90">
        <v>150000</v>
      </c>
      <c r="L141" s="90">
        <v>0</v>
      </c>
      <c r="M141" s="89" t="s">
        <v>337</v>
      </c>
      <c r="N141" s="89" t="s">
        <v>338</v>
      </c>
      <c r="O141" s="283"/>
      <c r="P141" s="284"/>
      <c r="Q141" s="285"/>
      <c r="R141" s="90">
        <v>8</v>
      </c>
      <c r="S141" s="89" t="s">
        <v>13</v>
      </c>
      <c r="T141" s="91">
        <v>30</v>
      </c>
      <c r="U141" s="90">
        <v>150000</v>
      </c>
      <c r="V141" s="90">
        <v>0</v>
      </c>
      <c r="W141" s="105">
        <v>0</v>
      </c>
      <c r="X141" s="72">
        <v>0</v>
      </c>
      <c r="Y141" s="72">
        <f t="shared" si="35"/>
        <v>0</v>
      </c>
      <c r="Z141" s="105">
        <v>0</v>
      </c>
    </row>
    <row r="142" spans="1:26" x14ac:dyDescent="0.3">
      <c r="A142" s="85"/>
      <c r="B142" s="95" t="s">
        <v>354</v>
      </c>
      <c r="C142" s="97"/>
      <c r="D142" s="88"/>
      <c r="E142" s="89"/>
      <c r="F142" s="89">
        <v>39249000</v>
      </c>
      <c r="G142" s="89" t="s">
        <v>4</v>
      </c>
      <c r="H142" s="90">
        <v>47</v>
      </c>
      <c r="I142" s="89" t="s">
        <v>13</v>
      </c>
      <c r="J142" s="91">
        <v>30</v>
      </c>
      <c r="K142" s="90">
        <v>51750</v>
      </c>
      <c r="L142" s="90">
        <v>0</v>
      </c>
      <c r="M142" s="89" t="s">
        <v>337</v>
      </c>
      <c r="N142" s="89" t="s">
        <v>338</v>
      </c>
      <c r="O142" s="283"/>
      <c r="P142" s="284"/>
      <c r="Q142" s="285"/>
      <c r="R142" s="90">
        <v>47</v>
      </c>
      <c r="S142" s="89" t="s">
        <v>13</v>
      </c>
      <c r="T142" s="91">
        <v>30</v>
      </c>
      <c r="U142" s="90">
        <v>51750</v>
      </c>
      <c r="V142" s="90">
        <v>0</v>
      </c>
      <c r="W142" s="105">
        <v>0</v>
      </c>
      <c r="X142" s="72">
        <v>0</v>
      </c>
      <c r="Y142" s="72">
        <f t="shared" si="35"/>
        <v>0</v>
      </c>
      <c r="Z142" s="105">
        <v>0</v>
      </c>
    </row>
    <row r="143" spans="1:26" x14ac:dyDescent="0.3">
      <c r="A143" s="85"/>
      <c r="B143" s="95" t="s">
        <v>355</v>
      </c>
      <c r="C143" s="97"/>
      <c r="D143" s="88"/>
      <c r="E143" s="89"/>
      <c r="F143" s="89">
        <v>39232900</v>
      </c>
      <c r="G143" s="89" t="s">
        <v>4</v>
      </c>
      <c r="H143" s="90">
        <v>300</v>
      </c>
      <c r="I143" s="89" t="s">
        <v>13</v>
      </c>
      <c r="J143" s="91">
        <v>60</v>
      </c>
      <c r="K143" s="90">
        <v>207000</v>
      </c>
      <c r="L143" s="90">
        <v>0</v>
      </c>
      <c r="M143" s="89" t="s">
        <v>337</v>
      </c>
      <c r="N143" s="89" t="s">
        <v>338</v>
      </c>
      <c r="O143" s="283"/>
      <c r="P143" s="284"/>
      <c r="Q143" s="285"/>
      <c r="R143" s="90">
        <v>300</v>
      </c>
      <c r="S143" s="89" t="s">
        <v>13</v>
      </c>
      <c r="T143" s="91">
        <v>60</v>
      </c>
      <c r="U143" s="90">
        <v>207000</v>
      </c>
      <c r="V143" s="90">
        <v>0</v>
      </c>
      <c r="W143" s="105">
        <v>0</v>
      </c>
      <c r="X143" s="72">
        <v>0</v>
      </c>
      <c r="Y143" s="72">
        <f t="shared" si="35"/>
        <v>0</v>
      </c>
      <c r="Z143" s="105">
        <v>0</v>
      </c>
    </row>
    <row r="144" spans="1:26" x14ac:dyDescent="0.3">
      <c r="A144" s="85"/>
      <c r="B144" s="94" t="s">
        <v>356</v>
      </c>
      <c r="C144" s="97"/>
      <c r="D144" s="88"/>
      <c r="E144" s="89"/>
      <c r="F144" s="89">
        <v>44219990</v>
      </c>
      <c r="G144" s="89" t="s">
        <v>4</v>
      </c>
      <c r="H144" s="90">
        <v>2</v>
      </c>
      <c r="I144" s="89" t="s">
        <v>13</v>
      </c>
      <c r="J144" s="91">
        <v>1</v>
      </c>
      <c r="K144" s="90">
        <v>2700</v>
      </c>
      <c r="L144" s="90">
        <v>0</v>
      </c>
      <c r="M144" s="89" t="s">
        <v>337</v>
      </c>
      <c r="N144" s="89" t="s">
        <v>338</v>
      </c>
      <c r="O144" s="283"/>
      <c r="P144" s="284"/>
      <c r="Q144" s="285"/>
      <c r="R144" s="90">
        <v>2</v>
      </c>
      <c r="S144" s="89" t="s">
        <v>13</v>
      </c>
      <c r="T144" s="91">
        <v>1</v>
      </c>
      <c r="U144" s="90">
        <v>2700</v>
      </c>
      <c r="V144" s="90">
        <v>0</v>
      </c>
      <c r="W144" s="105">
        <v>0</v>
      </c>
      <c r="X144" s="72">
        <v>0</v>
      </c>
      <c r="Y144" s="72">
        <f t="shared" si="35"/>
        <v>0</v>
      </c>
      <c r="Z144" s="105">
        <v>0</v>
      </c>
    </row>
    <row r="145" spans="1:26" x14ac:dyDescent="0.3">
      <c r="A145" s="85"/>
      <c r="B145" s="95" t="s">
        <v>357</v>
      </c>
      <c r="C145" s="97"/>
      <c r="D145" s="88"/>
      <c r="E145" s="89"/>
      <c r="F145" s="89">
        <v>40159000</v>
      </c>
      <c r="G145" s="89" t="s">
        <v>4</v>
      </c>
      <c r="H145" s="90">
        <v>18</v>
      </c>
      <c r="I145" s="89" t="s">
        <v>13</v>
      </c>
      <c r="J145" s="91">
        <v>150</v>
      </c>
      <c r="K145" s="90">
        <v>51000</v>
      </c>
      <c r="L145" s="90">
        <v>0</v>
      </c>
      <c r="M145" s="89" t="s">
        <v>337</v>
      </c>
      <c r="N145" s="89" t="s">
        <v>338</v>
      </c>
      <c r="O145" s="283"/>
      <c r="P145" s="284"/>
      <c r="Q145" s="285"/>
      <c r="R145" s="90">
        <v>18</v>
      </c>
      <c r="S145" s="89" t="s">
        <v>13</v>
      </c>
      <c r="T145" s="91">
        <v>150</v>
      </c>
      <c r="U145" s="90">
        <v>51000</v>
      </c>
      <c r="V145" s="90">
        <v>0</v>
      </c>
      <c r="W145" s="105">
        <v>0</v>
      </c>
      <c r="X145" s="72">
        <v>0</v>
      </c>
      <c r="Y145" s="72">
        <f t="shared" si="35"/>
        <v>0</v>
      </c>
      <c r="Z145" s="105">
        <v>0</v>
      </c>
    </row>
    <row r="146" spans="1:26" x14ac:dyDescent="0.3">
      <c r="A146" s="85"/>
      <c r="B146" s="86" t="s">
        <v>358</v>
      </c>
      <c r="C146" s="97"/>
      <c r="D146" s="88"/>
      <c r="E146" s="89"/>
      <c r="F146" s="89">
        <v>34011100</v>
      </c>
      <c r="G146" s="89" t="s">
        <v>4</v>
      </c>
      <c r="H146" s="90">
        <v>27</v>
      </c>
      <c r="I146" s="89" t="s">
        <v>13</v>
      </c>
      <c r="J146" s="91">
        <v>300</v>
      </c>
      <c r="K146" s="90">
        <v>48000</v>
      </c>
      <c r="L146" s="90">
        <v>0</v>
      </c>
      <c r="M146" s="89" t="s">
        <v>337</v>
      </c>
      <c r="N146" s="89" t="s">
        <v>338</v>
      </c>
      <c r="O146" s="283"/>
      <c r="P146" s="284"/>
      <c r="Q146" s="285"/>
      <c r="R146" s="90">
        <v>27</v>
      </c>
      <c r="S146" s="89" t="s">
        <v>13</v>
      </c>
      <c r="T146" s="91">
        <v>300</v>
      </c>
      <c r="U146" s="90">
        <v>48000</v>
      </c>
      <c r="V146" s="90">
        <v>0</v>
      </c>
      <c r="W146" s="105">
        <v>0</v>
      </c>
      <c r="X146" s="72">
        <v>0</v>
      </c>
      <c r="Y146" s="72">
        <f t="shared" si="35"/>
        <v>0</v>
      </c>
      <c r="Z146" s="105">
        <v>0</v>
      </c>
    </row>
    <row r="147" spans="1:26" x14ac:dyDescent="0.3">
      <c r="A147" s="85"/>
      <c r="B147" s="95" t="s">
        <v>359</v>
      </c>
      <c r="C147" s="97"/>
      <c r="D147" s="88"/>
      <c r="E147" s="89"/>
      <c r="F147" s="89">
        <v>39249000</v>
      </c>
      <c r="G147" s="89" t="s">
        <v>4</v>
      </c>
      <c r="H147" s="90">
        <v>173</v>
      </c>
      <c r="I147" s="89" t="s">
        <v>13</v>
      </c>
      <c r="J147" s="91">
        <v>300</v>
      </c>
      <c r="K147" s="90">
        <v>60000</v>
      </c>
      <c r="L147" s="90">
        <v>0</v>
      </c>
      <c r="M147" s="89" t="s">
        <v>337</v>
      </c>
      <c r="N147" s="89" t="s">
        <v>338</v>
      </c>
      <c r="O147" s="283"/>
      <c r="P147" s="284"/>
      <c r="Q147" s="285"/>
      <c r="R147" s="90">
        <v>173</v>
      </c>
      <c r="S147" s="89" t="s">
        <v>13</v>
      </c>
      <c r="T147" s="91">
        <v>300</v>
      </c>
      <c r="U147" s="90">
        <v>60000</v>
      </c>
      <c r="V147" s="90">
        <v>0</v>
      </c>
      <c r="W147" s="105">
        <v>0</v>
      </c>
      <c r="X147" s="72">
        <v>0</v>
      </c>
      <c r="Y147" s="72">
        <f t="shared" si="35"/>
        <v>0</v>
      </c>
      <c r="Z147" s="105">
        <v>0</v>
      </c>
    </row>
    <row r="148" spans="1:26" x14ac:dyDescent="0.3">
      <c r="A148" s="85"/>
      <c r="B148" s="95" t="s">
        <v>360</v>
      </c>
      <c r="C148" s="97"/>
      <c r="D148" s="88"/>
      <c r="E148" s="89"/>
      <c r="F148" s="89">
        <v>56074900</v>
      </c>
      <c r="G148" s="89" t="s">
        <v>4</v>
      </c>
      <c r="H148" s="90">
        <v>2</v>
      </c>
      <c r="I148" s="89" t="s">
        <v>13</v>
      </c>
      <c r="J148" s="91">
        <v>1</v>
      </c>
      <c r="K148" s="90">
        <v>780</v>
      </c>
      <c r="L148" s="90">
        <v>0</v>
      </c>
      <c r="M148" s="89" t="s">
        <v>337</v>
      </c>
      <c r="N148" s="89" t="s">
        <v>338</v>
      </c>
      <c r="O148" s="283"/>
      <c r="P148" s="284"/>
      <c r="Q148" s="285"/>
      <c r="R148" s="90">
        <v>2</v>
      </c>
      <c r="S148" s="89" t="s">
        <v>13</v>
      </c>
      <c r="T148" s="91">
        <v>1</v>
      </c>
      <c r="U148" s="90">
        <v>780</v>
      </c>
      <c r="V148" s="90">
        <v>0</v>
      </c>
      <c r="W148" s="105">
        <v>0</v>
      </c>
      <c r="X148" s="72">
        <v>0</v>
      </c>
      <c r="Y148" s="72">
        <f t="shared" si="35"/>
        <v>0</v>
      </c>
      <c r="Z148" s="105">
        <v>0</v>
      </c>
    </row>
    <row r="149" spans="1:26" x14ac:dyDescent="0.3">
      <c r="A149" s="85"/>
      <c r="B149" s="95" t="s">
        <v>361</v>
      </c>
      <c r="C149" s="97"/>
      <c r="D149" s="88"/>
      <c r="E149" s="89"/>
      <c r="F149" s="89">
        <v>63079000</v>
      </c>
      <c r="G149" s="89" t="s">
        <v>4</v>
      </c>
      <c r="H149" s="90">
        <v>120</v>
      </c>
      <c r="I149" s="89" t="s">
        <v>13</v>
      </c>
      <c r="J149" s="91">
        <v>600</v>
      </c>
      <c r="K149" s="90">
        <v>75000</v>
      </c>
      <c r="L149" s="90">
        <v>0</v>
      </c>
      <c r="M149" s="89" t="s">
        <v>337</v>
      </c>
      <c r="N149" s="89" t="s">
        <v>338</v>
      </c>
      <c r="O149" s="283"/>
      <c r="P149" s="284"/>
      <c r="Q149" s="285"/>
      <c r="R149" s="90">
        <v>120</v>
      </c>
      <c r="S149" s="89" t="s">
        <v>13</v>
      </c>
      <c r="T149" s="91">
        <v>600</v>
      </c>
      <c r="U149" s="90">
        <v>75000</v>
      </c>
      <c r="V149" s="90">
        <v>0</v>
      </c>
      <c r="W149" s="105">
        <v>0</v>
      </c>
      <c r="X149" s="72">
        <v>0</v>
      </c>
      <c r="Y149" s="72">
        <f t="shared" si="35"/>
        <v>0</v>
      </c>
      <c r="Z149" s="105">
        <v>0</v>
      </c>
    </row>
    <row r="150" spans="1:26" x14ac:dyDescent="0.3">
      <c r="A150" s="85"/>
      <c r="B150" s="94" t="s">
        <v>362</v>
      </c>
      <c r="C150" s="97"/>
      <c r="D150" s="88"/>
      <c r="E150" s="89"/>
      <c r="F150" s="89">
        <v>34025000</v>
      </c>
      <c r="G150" s="89" t="s">
        <v>4</v>
      </c>
      <c r="H150" s="90">
        <v>243</v>
      </c>
      <c r="I150" s="89" t="s">
        <v>13</v>
      </c>
      <c r="J150" s="91">
        <v>450</v>
      </c>
      <c r="K150" s="90">
        <v>99000</v>
      </c>
      <c r="L150" s="90">
        <v>0</v>
      </c>
      <c r="M150" s="89" t="s">
        <v>337</v>
      </c>
      <c r="N150" s="89" t="s">
        <v>338</v>
      </c>
      <c r="O150" s="283"/>
      <c r="P150" s="284"/>
      <c r="Q150" s="285"/>
      <c r="R150" s="90">
        <v>243</v>
      </c>
      <c r="S150" s="89" t="s">
        <v>13</v>
      </c>
      <c r="T150" s="91">
        <v>450</v>
      </c>
      <c r="U150" s="90">
        <v>99000</v>
      </c>
      <c r="V150" s="90">
        <v>0</v>
      </c>
      <c r="W150" s="105">
        <v>0</v>
      </c>
      <c r="X150" s="72">
        <v>0</v>
      </c>
      <c r="Y150" s="72">
        <f t="shared" si="35"/>
        <v>0</v>
      </c>
      <c r="Z150" s="105">
        <v>0</v>
      </c>
    </row>
    <row r="151" spans="1:26" x14ac:dyDescent="0.3">
      <c r="A151" s="85"/>
      <c r="B151" s="95" t="s">
        <v>363</v>
      </c>
      <c r="C151" s="97"/>
      <c r="D151" s="88"/>
      <c r="E151" s="89"/>
      <c r="F151" s="89">
        <v>39262000</v>
      </c>
      <c r="G151" s="89" t="s">
        <v>4</v>
      </c>
      <c r="H151" s="90">
        <v>54</v>
      </c>
      <c r="I151" s="89" t="s">
        <v>13</v>
      </c>
      <c r="J151" s="91">
        <v>150</v>
      </c>
      <c r="K151" s="90">
        <v>69750</v>
      </c>
      <c r="L151" s="90">
        <v>0</v>
      </c>
      <c r="M151" s="89" t="s">
        <v>337</v>
      </c>
      <c r="N151" s="89" t="s">
        <v>338</v>
      </c>
      <c r="O151" s="283"/>
      <c r="P151" s="284"/>
      <c r="Q151" s="285"/>
      <c r="R151" s="90">
        <v>54</v>
      </c>
      <c r="S151" s="89" t="s">
        <v>13</v>
      </c>
      <c r="T151" s="91">
        <v>150</v>
      </c>
      <c r="U151" s="90">
        <v>69750</v>
      </c>
      <c r="V151" s="90">
        <v>0</v>
      </c>
      <c r="W151" s="105">
        <v>0</v>
      </c>
      <c r="X151" s="72">
        <v>0</v>
      </c>
      <c r="Y151" s="72">
        <f t="shared" si="35"/>
        <v>0</v>
      </c>
      <c r="Z151" s="105">
        <v>0</v>
      </c>
    </row>
    <row r="152" spans="1:26" x14ac:dyDescent="0.3">
      <c r="A152" s="139"/>
      <c r="B152" s="46"/>
      <c r="C152" s="46"/>
      <c r="D152" s="46"/>
      <c r="E152" s="46"/>
      <c r="F152" s="46"/>
      <c r="G152" s="46"/>
      <c r="H152" s="46"/>
      <c r="I152" s="46"/>
      <c r="J152" s="46"/>
      <c r="K152" s="135"/>
      <c r="L152" s="135"/>
      <c r="M152" s="11"/>
      <c r="N152" s="11"/>
      <c r="O152" s="46"/>
      <c r="P152" s="46"/>
      <c r="Q152" s="46"/>
      <c r="R152" s="135"/>
      <c r="S152" s="46"/>
      <c r="T152" s="136"/>
      <c r="U152" s="135"/>
      <c r="V152" s="135"/>
      <c r="W152" s="137"/>
      <c r="X152" s="81"/>
      <c r="Y152" s="81"/>
      <c r="Z152" s="81"/>
    </row>
    <row r="153" spans="1:26" x14ac:dyDescent="0.3">
      <c r="A153" s="64" t="s">
        <v>364</v>
      </c>
      <c r="B153" s="25" t="s">
        <v>365</v>
      </c>
      <c r="C153" s="39" t="s">
        <v>366</v>
      </c>
      <c r="D153" s="21">
        <v>45989</v>
      </c>
      <c r="E153" s="22" t="s">
        <v>367</v>
      </c>
      <c r="F153" s="22">
        <v>30049000</v>
      </c>
      <c r="G153" s="22" t="s">
        <v>368</v>
      </c>
      <c r="H153" s="23">
        <v>2</v>
      </c>
      <c r="I153" s="39" t="s">
        <v>13</v>
      </c>
      <c r="J153" s="24">
        <v>20</v>
      </c>
      <c r="K153" s="23">
        <v>17956.97</v>
      </c>
      <c r="L153" s="23">
        <v>610</v>
      </c>
      <c r="M153" s="24"/>
      <c r="N153" s="24"/>
      <c r="O153" s="11"/>
      <c r="P153" s="11"/>
      <c r="Q153" s="11"/>
      <c r="R153" s="12"/>
      <c r="S153" s="11"/>
      <c r="T153" s="13"/>
      <c r="U153" s="12"/>
      <c r="V153" s="12"/>
      <c r="W153" s="79">
        <f t="shared" ref="W153:W178" si="36">J153-T153</f>
        <v>20</v>
      </c>
      <c r="X153" s="66">
        <v>17956.97</v>
      </c>
      <c r="Y153" s="66">
        <f>L153-V153</f>
        <v>610</v>
      </c>
      <c r="Z153" s="67">
        <v>2</v>
      </c>
    </row>
    <row r="154" spans="1:26" x14ac:dyDescent="0.3">
      <c r="A154" s="64"/>
      <c r="B154" s="19" t="s">
        <v>369</v>
      </c>
      <c r="C154" s="36"/>
      <c r="D154" s="21"/>
      <c r="E154" s="22"/>
      <c r="F154" s="22">
        <v>30049000</v>
      </c>
      <c r="G154" s="22" t="s">
        <v>368</v>
      </c>
      <c r="H154" s="23">
        <v>2</v>
      </c>
      <c r="I154" s="39" t="s">
        <v>13</v>
      </c>
      <c r="J154" s="24">
        <v>19</v>
      </c>
      <c r="K154" s="23">
        <v>3605.61</v>
      </c>
      <c r="L154" s="23">
        <v>73</v>
      </c>
      <c r="M154" s="24"/>
      <c r="N154" s="24"/>
      <c r="O154" s="11"/>
      <c r="P154" s="11"/>
      <c r="Q154" s="11"/>
      <c r="R154" s="12"/>
      <c r="S154" s="11"/>
      <c r="T154" s="13"/>
      <c r="U154" s="12"/>
      <c r="V154" s="12"/>
      <c r="W154" s="79">
        <f t="shared" si="36"/>
        <v>19</v>
      </c>
      <c r="X154" s="66">
        <v>3605.61</v>
      </c>
      <c r="Y154" s="66">
        <f t="shared" ref="Y154:Y222" si="37">L154-V154</f>
        <v>73</v>
      </c>
      <c r="Z154" s="67">
        <v>2</v>
      </c>
    </row>
    <row r="155" spans="1:26" x14ac:dyDescent="0.3">
      <c r="A155" s="64"/>
      <c r="B155" s="19" t="s">
        <v>370</v>
      </c>
      <c r="C155" s="36"/>
      <c r="D155" s="21"/>
      <c r="E155" s="22"/>
      <c r="F155" s="22">
        <v>30049000</v>
      </c>
      <c r="G155" s="22" t="s">
        <v>368</v>
      </c>
      <c r="H155" s="23">
        <v>7</v>
      </c>
      <c r="I155" s="39" t="s">
        <v>13</v>
      </c>
      <c r="J155" s="24">
        <v>70</v>
      </c>
      <c r="K155" s="23">
        <v>168840.98</v>
      </c>
      <c r="L155" s="23">
        <v>3377</v>
      </c>
      <c r="M155" s="24"/>
      <c r="N155" s="24"/>
      <c r="O155" s="11"/>
      <c r="P155" s="11"/>
      <c r="Q155" s="11"/>
      <c r="R155" s="12"/>
      <c r="S155" s="11"/>
      <c r="T155" s="13"/>
      <c r="U155" s="12"/>
      <c r="V155" s="12"/>
      <c r="W155" s="79">
        <f t="shared" si="36"/>
        <v>70</v>
      </c>
      <c r="X155" s="66">
        <v>168840.98</v>
      </c>
      <c r="Y155" s="66">
        <f t="shared" si="37"/>
        <v>3377</v>
      </c>
      <c r="Z155" s="67">
        <v>7</v>
      </c>
    </row>
    <row r="156" spans="1:26" x14ac:dyDescent="0.3">
      <c r="A156" s="64"/>
      <c r="B156" s="29" t="s">
        <v>371</v>
      </c>
      <c r="C156" s="36"/>
      <c r="D156" s="21"/>
      <c r="E156" s="22"/>
      <c r="F156" s="22">
        <v>30049000</v>
      </c>
      <c r="G156" s="22" t="s">
        <v>368</v>
      </c>
      <c r="H156" s="23">
        <v>7</v>
      </c>
      <c r="I156" s="39" t="s">
        <v>13</v>
      </c>
      <c r="J156" s="24">
        <v>74</v>
      </c>
      <c r="K156" s="23">
        <v>52938.98</v>
      </c>
      <c r="L156" s="23">
        <v>1059</v>
      </c>
      <c r="M156" s="24"/>
      <c r="N156" s="24"/>
      <c r="O156" s="11"/>
      <c r="P156" s="11"/>
      <c r="Q156" s="11"/>
      <c r="R156" s="12"/>
      <c r="S156" s="11"/>
      <c r="T156" s="13"/>
      <c r="U156" s="12"/>
      <c r="V156" s="12"/>
      <c r="W156" s="79">
        <f t="shared" si="36"/>
        <v>74</v>
      </c>
      <c r="X156" s="66">
        <v>52938.98</v>
      </c>
      <c r="Y156" s="66">
        <f t="shared" si="37"/>
        <v>1059</v>
      </c>
      <c r="Z156" s="67">
        <v>7</v>
      </c>
    </row>
    <row r="157" spans="1:26" x14ac:dyDescent="0.3">
      <c r="A157" s="64"/>
      <c r="B157" s="19" t="s">
        <v>372</v>
      </c>
      <c r="C157" s="36"/>
      <c r="D157" s="21"/>
      <c r="E157" s="39"/>
      <c r="F157" s="22">
        <v>30049000</v>
      </c>
      <c r="G157" s="22" t="s">
        <v>368</v>
      </c>
      <c r="H157" s="40">
        <v>113</v>
      </c>
      <c r="I157" s="39" t="s">
        <v>13</v>
      </c>
      <c r="J157" s="38">
        <v>1212</v>
      </c>
      <c r="K157" s="40">
        <v>571094.31000000006</v>
      </c>
      <c r="L157" s="40">
        <v>11422</v>
      </c>
      <c r="M157" s="57"/>
      <c r="N157" s="57"/>
      <c r="O157" s="11"/>
      <c r="P157" s="11"/>
      <c r="Q157" s="11"/>
      <c r="R157" s="12"/>
      <c r="S157" s="11"/>
      <c r="T157" s="13"/>
      <c r="U157" s="12"/>
      <c r="V157" s="12"/>
      <c r="W157" s="79">
        <f t="shared" si="36"/>
        <v>1212</v>
      </c>
      <c r="X157" s="66">
        <v>571094.31000000006</v>
      </c>
      <c r="Y157" s="66">
        <f t="shared" si="37"/>
        <v>11422</v>
      </c>
      <c r="Z157" s="67">
        <v>113</v>
      </c>
    </row>
    <row r="158" spans="1:26" x14ac:dyDescent="0.3">
      <c r="A158" s="64"/>
      <c r="B158" s="19" t="s">
        <v>373</v>
      </c>
      <c r="C158" s="36"/>
      <c r="D158" s="21"/>
      <c r="E158" s="22"/>
      <c r="F158" s="22">
        <v>30049000</v>
      </c>
      <c r="G158" s="22" t="s">
        <v>368</v>
      </c>
      <c r="H158" s="23">
        <v>2</v>
      </c>
      <c r="I158" s="39" t="s">
        <v>13</v>
      </c>
      <c r="J158" s="24">
        <v>18</v>
      </c>
      <c r="K158" s="23">
        <v>12887.19</v>
      </c>
      <c r="L158" s="23">
        <v>258</v>
      </c>
      <c r="M158" s="24"/>
      <c r="N158" s="24"/>
      <c r="O158" s="11"/>
      <c r="P158" s="11"/>
      <c r="Q158" s="11"/>
      <c r="R158" s="12"/>
      <c r="S158" s="11"/>
      <c r="T158" s="13"/>
      <c r="U158" s="12"/>
      <c r="V158" s="12"/>
      <c r="W158" s="79">
        <f t="shared" si="36"/>
        <v>18</v>
      </c>
      <c r="X158" s="66">
        <v>12887.19</v>
      </c>
      <c r="Y158" s="66">
        <f t="shared" si="37"/>
        <v>258</v>
      </c>
      <c r="Z158" s="67">
        <v>2</v>
      </c>
    </row>
    <row r="159" spans="1:26" x14ac:dyDescent="0.3">
      <c r="A159" s="64"/>
      <c r="B159" s="26" t="s">
        <v>374</v>
      </c>
      <c r="C159" s="36"/>
      <c r="D159" s="21"/>
      <c r="E159" s="22"/>
      <c r="F159" s="22">
        <v>30049000</v>
      </c>
      <c r="G159" s="22" t="s">
        <v>368</v>
      </c>
      <c r="H159" s="23">
        <v>1</v>
      </c>
      <c r="I159" s="39" t="s">
        <v>13</v>
      </c>
      <c r="J159" s="24">
        <v>8</v>
      </c>
      <c r="K159" s="23">
        <v>8887.34</v>
      </c>
      <c r="L159" s="23">
        <v>178</v>
      </c>
      <c r="M159" s="24"/>
      <c r="N159" s="24"/>
      <c r="O159" s="11"/>
      <c r="P159" s="11"/>
      <c r="Q159" s="11"/>
      <c r="R159" s="12"/>
      <c r="S159" s="11"/>
      <c r="T159" s="13"/>
      <c r="U159" s="12"/>
      <c r="V159" s="12"/>
      <c r="W159" s="79">
        <f t="shared" si="36"/>
        <v>8</v>
      </c>
      <c r="X159" s="66">
        <v>8887.34</v>
      </c>
      <c r="Y159" s="66">
        <f t="shared" si="37"/>
        <v>178</v>
      </c>
      <c r="Z159" s="67">
        <v>1</v>
      </c>
    </row>
    <row r="160" spans="1:26" x14ac:dyDescent="0.3">
      <c r="A160" s="64"/>
      <c r="B160" s="29" t="s">
        <v>375</v>
      </c>
      <c r="C160" s="36"/>
      <c r="D160" s="21"/>
      <c r="E160" s="22"/>
      <c r="F160" s="22">
        <v>30049000</v>
      </c>
      <c r="G160" s="22" t="s">
        <v>368</v>
      </c>
      <c r="H160" s="23">
        <v>2</v>
      </c>
      <c r="I160" s="39" t="s">
        <v>13</v>
      </c>
      <c r="J160" s="24">
        <v>317</v>
      </c>
      <c r="K160" s="23">
        <v>901855.89</v>
      </c>
      <c r="L160" s="23">
        <v>18038</v>
      </c>
      <c r="M160" s="24"/>
      <c r="N160" s="24"/>
      <c r="O160" s="11"/>
      <c r="P160" s="11"/>
      <c r="Q160" s="11"/>
      <c r="R160" s="12"/>
      <c r="S160" s="11"/>
      <c r="T160" s="13"/>
      <c r="U160" s="12"/>
      <c r="V160" s="12"/>
      <c r="W160" s="79">
        <f t="shared" si="36"/>
        <v>317</v>
      </c>
      <c r="X160" s="66">
        <v>901855.89</v>
      </c>
      <c r="Y160" s="66">
        <f t="shared" si="37"/>
        <v>18038</v>
      </c>
      <c r="Z160" s="67">
        <v>2</v>
      </c>
    </row>
    <row r="161" spans="1:26" x14ac:dyDescent="0.3">
      <c r="A161" s="64"/>
      <c r="B161" s="29" t="s">
        <v>376</v>
      </c>
      <c r="C161" s="36"/>
      <c r="D161" s="21"/>
      <c r="E161" s="22"/>
      <c r="F161" s="22">
        <v>30049000</v>
      </c>
      <c r="G161" s="22" t="s">
        <v>368</v>
      </c>
      <c r="H161" s="23">
        <v>2</v>
      </c>
      <c r="I161" s="39" t="s">
        <v>13</v>
      </c>
      <c r="J161" s="24">
        <v>17</v>
      </c>
      <c r="K161" s="23">
        <v>26185.279999999999</v>
      </c>
      <c r="L161" s="23">
        <v>524</v>
      </c>
      <c r="M161" s="24"/>
      <c r="N161" s="24"/>
      <c r="O161" s="11"/>
      <c r="P161" s="11"/>
      <c r="Q161" s="11"/>
      <c r="R161" s="12"/>
      <c r="S161" s="11"/>
      <c r="T161" s="13"/>
      <c r="U161" s="12"/>
      <c r="V161" s="12"/>
      <c r="W161" s="79">
        <f t="shared" si="36"/>
        <v>17</v>
      </c>
      <c r="X161" s="66">
        <v>26185.279999999999</v>
      </c>
      <c r="Y161" s="66">
        <f t="shared" si="37"/>
        <v>524</v>
      </c>
      <c r="Z161" s="67">
        <v>2</v>
      </c>
    </row>
    <row r="162" spans="1:26" x14ac:dyDescent="0.3">
      <c r="A162" s="64"/>
      <c r="B162" s="29" t="s">
        <v>377</v>
      </c>
      <c r="C162" s="36"/>
      <c r="D162" s="21"/>
      <c r="E162" s="22" t="s">
        <v>378</v>
      </c>
      <c r="F162" s="22">
        <v>30049000</v>
      </c>
      <c r="G162" s="22" t="s">
        <v>368</v>
      </c>
      <c r="H162" s="23">
        <v>21</v>
      </c>
      <c r="I162" s="39" t="s">
        <v>13</v>
      </c>
      <c r="J162" s="24">
        <v>230</v>
      </c>
      <c r="K162" s="23">
        <v>554695.02</v>
      </c>
      <c r="L162" s="23">
        <v>11094</v>
      </c>
      <c r="M162" s="24"/>
      <c r="N162" s="24"/>
      <c r="O162" s="11"/>
      <c r="P162" s="11"/>
      <c r="Q162" s="11"/>
      <c r="R162" s="12"/>
      <c r="S162" s="11"/>
      <c r="T162" s="13"/>
      <c r="U162" s="12"/>
      <c r="V162" s="12"/>
      <c r="W162" s="79">
        <f t="shared" si="36"/>
        <v>230</v>
      </c>
      <c r="X162" s="66">
        <v>554695.02</v>
      </c>
      <c r="Y162" s="66">
        <f t="shared" si="37"/>
        <v>11094</v>
      </c>
      <c r="Z162" s="67">
        <v>21</v>
      </c>
    </row>
    <row r="163" spans="1:26" x14ac:dyDescent="0.3">
      <c r="A163" s="64"/>
      <c r="B163" s="29" t="s">
        <v>379</v>
      </c>
      <c r="C163" s="36"/>
      <c r="D163" s="21"/>
      <c r="E163" s="22"/>
      <c r="F163" s="22">
        <v>30049000</v>
      </c>
      <c r="G163" s="22" t="s">
        <v>368</v>
      </c>
      <c r="H163" s="23">
        <v>2</v>
      </c>
      <c r="I163" s="39" t="s">
        <v>13</v>
      </c>
      <c r="J163" s="24">
        <v>18</v>
      </c>
      <c r="K163" s="23">
        <v>2435.15</v>
      </c>
      <c r="L163" s="23">
        <v>49</v>
      </c>
      <c r="M163" s="24"/>
      <c r="N163" s="24"/>
      <c r="O163" s="11"/>
      <c r="P163" s="11"/>
      <c r="Q163" s="11"/>
      <c r="R163" s="12"/>
      <c r="S163" s="11"/>
      <c r="T163" s="13"/>
      <c r="U163" s="12"/>
      <c r="V163" s="12"/>
      <c r="W163" s="79">
        <f t="shared" si="36"/>
        <v>18</v>
      </c>
      <c r="X163" s="66">
        <v>2435.15</v>
      </c>
      <c r="Y163" s="66">
        <f t="shared" si="37"/>
        <v>49</v>
      </c>
      <c r="Z163" s="67">
        <v>2</v>
      </c>
    </row>
    <row r="164" spans="1:26" x14ac:dyDescent="0.3">
      <c r="A164" s="64"/>
      <c r="B164" s="29" t="s">
        <v>380</v>
      </c>
      <c r="C164" s="36"/>
      <c r="D164" s="21"/>
      <c r="E164" s="22"/>
      <c r="F164" s="22">
        <v>30049000</v>
      </c>
      <c r="G164" s="22" t="s">
        <v>368</v>
      </c>
      <c r="H164" s="23">
        <v>1</v>
      </c>
      <c r="I164" s="39" t="s">
        <v>13</v>
      </c>
      <c r="J164" s="24">
        <v>3</v>
      </c>
      <c r="K164" s="23">
        <v>323.13</v>
      </c>
      <c r="L164" s="23">
        <v>7</v>
      </c>
      <c r="M164" s="24"/>
      <c r="N164" s="24"/>
      <c r="O164" s="11"/>
      <c r="P164" s="11"/>
      <c r="Q164" s="11"/>
      <c r="R164" s="12"/>
      <c r="S164" s="11"/>
      <c r="T164" s="13"/>
      <c r="U164" s="12"/>
      <c r="V164" s="12"/>
      <c r="W164" s="79">
        <f t="shared" si="36"/>
        <v>3</v>
      </c>
      <c r="X164" s="66">
        <v>323.13</v>
      </c>
      <c r="Y164" s="66">
        <f t="shared" si="37"/>
        <v>7</v>
      </c>
      <c r="Z164" s="67">
        <v>1</v>
      </c>
    </row>
    <row r="165" spans="1:26" x14ac:dyDescent="0.3">
      <c r="A165" s="64"/>
      <c r="B165" s="19" t="s">
        <v>381</v>
      </c>
      <c r="C165" s="36"/>
      <c r="D165" s="21"/>
      <c r="E165" s="22"/>
      <c r="F165" s="22">
        <v>30049000</v>
      </c>
      <c r="G165" s="22" t="s">
        <v>368</v>
      </c>
      <c r="H165" s="23">
        <v>100</v>
      </c>
      <c r="I165" s="39" t="s">
        <v>13</v>
      </c>
      <c r="J165" s="24">
        <v>1073</v>
      </c>
      <c r="K165" s="23">
        <v>46717.17</v>
      </c>
      <c r="L165" s="23">
        <v>935</v>
      </c>
      <c r="M165" s="24"/>
      <c r="N165" s="24"/>
      <c r="O165" s="11"/>
      <c r="P165" s="11"/>
      <c r="Q165" s="11"/>
      <c r="R165" s="12"/>
      <c r="S165" s="11"/>
      <c r="T165" s="13"/>
      <c r="U165" s="12"/>
      <c r="V165" s="12"/>
      <c r="W165" s="79">
        <f t="shared" si="36"/>
        <v>1073</v>
      </c>
      <c r="X165" s="66">
        <v>46717.17</v>
      </c>
      <c r="Y165" s="66">
        <f t="shared" si="37"/>
        <v>935</v>
      </c>
      <c r="Z165" s="67">
        <v>100</v>
      </c>
    </row>
    <row r="166" spans="1:26" x14ac:dyDescent="0.3">
      <c r="A166" s="64"/>
      <c r="B166" s="29" t="s">
        <v>382</v>
      </c>
      <c r="C166" s="36"/>
      <c r="D166" s="21"/>
      <c r="E166" s="22"/>
      <c r="F166" s="22">
        <v>30049000</v>
      </c>
      <c r="G166" s="22" t="s">
        <v>368</v>
      </c>
      <c r="H166" s="23">
        <v>8</v>
      </c>
      <c r="I166" s="39" t="s">
        <v>13</v>
      </c>
      <c r="J166" s="24">
        <v>83</v>
      </c>
      <c r="K166" s="23">
        <v>14969.23</v>
      </c>
      <c r="L166" s="23">
        <v>300</v>
      </c>
      <c r="M166" s="24"/>
      <c r="N166" s="24"/>
      <c r="O166" s="11"/>
      <c r="P166" s="11"/>
      <c r="Q166" s="11"/>
      <c r="R166" s="12"/>
      <c r="S166" s="11"/>
      <c r="T166" s="13"/>
      <c r="U166" s="12"/>
      <c r="V166" s="12"/>
      <c r="W166" s="79">
        <f t="shared" si="36"/>
        <v>83</v>
      </c>
      <c r="X166" s="66">
        <v>14969.23</v>
      </c>
      <c r="Y166" s="66">
        <f t="shared" si="37"/>
        <v>300</v>
      </c>
      <c r="Z166" s="67">
        <v>8</v>
      </c>
    </row>
    <row r="167" spans="1:26" x14ac:dyDescent="0.3">
      <c r="A167" s="64"/>
      <c r="B167" s="29" t="s">
        <v>383</v>
      </c>
      <c r="C167" s="36"/>
      <c r="D167" s="21"/>
      <c r="E167" s="22"/>
      <c r="F167" s="22">
        <v>30049000</v>
      </c>
      <c r="G167" s="22" t="s">
        <v>368</v>
      </c>
      <c r="H167" s="23">
        <v>36</v>
      </c>
      <c r="I167" s="39" t="s">
        <v>13</v>
      </c>
      <c r="J167" s="24">
        <v>385</v>
      </c>
      <c r="K167" s="23">
        <v>171652.75</v>
      </c>
      <c r="L167" s="23">
        <v>3434</v>
      </c>
      <c r="M167" s="24"/>
      <c r="N167" s="24"/>
      <c r="O167" s="11"/>
      <c r="P167" s="11"/>
      <c r="Q167" s="11"/>
      <c r="R167" s="12"/>
      <c r="S167" s="11"/>
      <c r="T167" s="13"/>
      <c r="U167" s="12"/>
      <c r="V167" s="12"/>
      <c r="W167" s="79">
        <f t="shared" si="36"/>
        <v>385</v>
      </c>
      <c r="X167" s="66">
        <v>171652.75</v>
      </c>
      <c r="Y167" s="66">
        <f t="shared" si="37"/>
        <v>3434</v>
      </c>
      <c r="Z167" s="67">
        <v>36</v>
      </c>
    </row>
    <row r="168" spans="1:26" x14ac:dyDescent="0.3">
      <c r="A168" s="64"/>
      <c r="B168" s="26" t="s">
        <v>384</v>
      </c>
      <c r="C168" s="36"/>
      <c r="D168" s="21"/>
      <c r="E168" s="22"/>
      <c r="F168" s="22">
        <v>30049000</v>
      </c>
      <c r="G168" s="22" t="s">
        <v>368</v>
      </c>
      <c r="H168" s="23">
        <v>1</v>
      </c>
      <c r="I168" s="39" t="s">
        <v>13</v>
      </c>
      <c r="J168" s="24">
        <v>10</v>
      </c>
      <c r="K168" s="23">
        <v>1726.63</v>
      </c>
      <c r="L168" s="23">
        <v>35</v>
      </c>
      <c r="M168" s="24"/>
      <c r="N168" s="24"/>
      <c r="O168" s="11"/>
      <c r="P168" s="11"/>
      <c r="Q168" s="11"/>
      <c r="R168" s="12"/>
      <c r="S168" s="11"/>
      <c r="T168" s="13"/>
      <c r="U168" s="12"/>
      <c r="V168" s="12"/>
      <c r="W168" s="79">
        <f t="shared" si="36"/>
        <v>10</v>
      </c>
      <c r="X168" s="66">
        <v>1726.63</v>
      </c>
      <c r="Y168" s="66">
        <f t="shared" si="37"/>
        <v>35</v>
      </c>
      <c r="Z168" s="67">
        <v>1</v>
      </c>
    </row>
    <row r="169" spans="1:26" x14ac:dyDescent="0.3">
      <c r="A169" s="64"/>
      <c r="B169" s="29" t="s">
        <v>385</v>
      </c>
      <c r="C169" s="36"/>
      <c r="D169" s="21"/>
      <c r="E169" s="22"/>
      <c r="F169" s="22">
        <v>30049000</v>
      </c>
      <c r="G169" s="22" t="s">
        <v>368</v>
      </c>
      <c r="H169" s="23">
        <v>1</v>
      </c>
      <c r="I169" s="39" t="s">
        <v>13</v>
      </c>
      <c r="J169" s="24">
        <v>6</v>
      </c>
      <c r="K169" s="23">
        <v>3182.21</v>
      </c>
      <c r="L169" s="23">
        <v>64</v>
      </c>
      <c r="M169" s="24"/>
      <c r="N169" s="24"/>
      <c r="O169" s="11"/>
      <c r="P169" s="11"/>
      <c r="Q169" s="11"/>
      <c r="R169" s="12"/>
      <c r="S169" s="11"/>
      <c r="T169" s="13"/>
      <c r="U169" s="12"/>
      <c r="V169" s="12"/>
      <c r="W169" s="79">
        <f t="shared" si="36"/>
        <v>6</v>
      </c>
      <c r="X169" s="66">
        <v>3182.21</v>
      </c>
      <c r="Y169" s="66">
        <f t="shared" si="37"/>
        <v>64</v>
      </c>
      <c r="Z169" s="67">
        <v>1</v>
      </c>
    </row>
    <row r="170" spans="1:26" s="60" customFormat="1" x14ac:dyDescent="0.3">
      <c r="A170" s="166"/>
      <c r="B170" s="139" t="s">
        <v>386</v>
      </c>
      <c r="C170" s="39"/>
      <c r="D170" s="174"/>
      <c r="E170" s="39"/>
      <c r="F170" s="39">
        <v>30049000</v>
      </c>
      <c r="G170" s="39" t="s">
        <v>368</v>
      </c>
      <c r="H170" s="40">
        <v>4</v>
      </c>
      <c r="I170" s="39" t="s">
        <v>13</v>
      </c>
      <c r="J170" s="38">
        <v>48</v>
      </c>
      <c r="K170" s="40">
        <v>2636.16</v>
      </c>
      <c r="L170" s="40">
        <v>53</v>
      </c>
      <c r="M170" s="168"/>
      <c r="N170" s="168"/>
      <c r="O170" s="165"/>
      <c r="P170" s="59"/>
      <c r="Q170" s="59"/>
      <c r="R170" s="61"/>
      <c r="S170" s="59"/>
      <c r="T170" s="62"/>
      <c r="U170" s="61"/>
      <c r="V170" s="61"/>
      <c r="W170" s="133">
        <f>J170-T170</f>
        <v>48</v>
      </c>
      <c r="X170" s="71">
        <f>K170-U170</f>
        <v>2636.16</v>
      </c>
      <c r="Y170" s="71">
        <f t="shared" ref="Y170" si="38">L170-V170</f>
        <v>53</v>
      </c>
      <c r="Z170" s="119">
        <f>H170-R170</f>
        <v>4</v>
      </c>
    </row>
    <row r="171" spans="1:26" x14ac:dyDescent="0.3">
      <c r="A171" s="64"/>
      <c r="B171" s="139" t="s">
        <v>387</v>
      </c>
      <c r="C171" s="39"/>
      <c r="D171" s="174"/>
      <c r="E171" s="39"/>
      <c r="F171" s="22">
        <v>30049000</v>
      </c>
      <c r="G171" s="22" t="s">
        <v>368</v>
      </c>
      <c r="H171" s="23">
        <v>6</v>
      </c>
      <c r="I171" s="39" t="s">
        <v>13</v>
      </c>
      <c r="J171" s="24">
        <v>68</v>
      </c>
      <c r="K171" s="23">
        <v>4277.12</v>
      </c>
      <c r="L171" s="23">
        <v>86</v>
      </c>
      <c r="M171" s="24"/>
      <c r="N171" s="24"/>
      <c r="O171" s="11"/>
      <c r="P171" s="11"/>
      <c r="Q171" s="11"/>
      <c r="R171" s="12"/>
      <c r="S171" s="11"/>
      <c r="T171" s="13"/>
      <c r="U171" s="12"/>
      <c r="V171" s="12"/>
      <c r="W171" s="79">
        <f t="shared" si="36"/>
        <v>68</v>
      </c>
      <c r="X171" s="66">
        <v>4277.12</v>
      </c>
      <c r="Y171" s="66">
        <f t="shared" si="37"/>
        <v>86</v>
      </c>
      <c r="Z171" s="67">
        <v>6</v>
      </c>
    </row>
    <row r="172" spans="1:26" x14ac:dyDescent="0.3">
      <c r="A172" s="64"/>
      <c r="B172" s="29" t="s">
        <v>388</v>
      </c>
      <c r="C172" s="36"/>
      <c r="D172" s="21"/>
      <c r="E172" s="22"/>
      <c r="F172" s="22">
        <v>30049000</v>
      </c>
      <c r="G172" s="22" t="s">
        <v>368</v>
      </c>
      <c r="H172" s="23">
        <v>4</v>
      </c>
      <c r="I172" s="39" t="s">
        <v>13</v>
      </c>
      <c r="J172" s="24">
        <v>40</v>
      </c>
      <c r="K172" s="23">
        <v>4302.66</v>
      </c>
      <c r="L172" s="23">
        <v>87</v>
      </c>
      <c r="M172" s="24" t="s">
        <v>204</v>
      </c>
      <c r="N172" s="24" t="s">
        <v>205</v>
      </c>
      <c r="O172" s="16">
        <v>46212</v>
      </c>
      <c r="P172" s="11" t="s">
        <v>389</v>
      </c>
      <c r="Q172" s="11"/>
      <c r="R172" s="12">
        <v>1.2</v>
      </c>
      <c r="S172" s="11" t="s">
        <v>13</v>
      </c>
      <c r="T172" s="13">
        <v>23</v>
      </c>
      <c r="U172" s="12">
        <f>(K172*T172)/40</f>
        <v>2474.0294999999996</v>
      </c>
      <c r="V172" s="12">
        <f>(T172*L172)/J172</f>
        <v>50.024999999999999</v>
      </c>
      <c r="W172" s="79">
        <f>J172-T172</f>
        <v>17</v>
      </c>
      <c r="X172" s="66">
        <f>K172-U172</f>
        <v>1828.6305000000002</v>
      </c>
      <c r="Y172" s="66">
        <f t="shared" si="37"/>
        <v>36.975000000000001</v>
      </c>
      <c r="Z172" s="67">
        <f>H172-R172</f>
        <v>2.8</v>
      </c>
    </row>
    <row r="173" spans="1:26" x14ac:dyDescent="0.3">
      <c r="A173" s="64"/>
      <c r="B173" s="26" t="s">
        <v>390</v>
      </c>
      <c r="C173" s="36"/>
      <c r="D173" s="21"/>
      <c r="E173" s="22"/>
      <c r="F173" s="22">
        <v>30049000</v>
      </c>
      <c r="G173" s="22" t="s">
        <v>368</v>
      </c>
      <c r="H173" s="23">
        <v>1</v>
      </c>
      <c r="I173" s="39" t="s">
        <v>13</v>
      </c>
      <c r="J173" s="24">
        <v>3</v>
      </c>
      <c r="K173" s="23">
        <v>1987.02</v>
      </c>
      <c r="L173" s="23">
        <v>40</v>
      </c>
      <c r="M173" s="24"/>
      <c r="N173" s="24"/>
      <c r="O173" s="11"/>
      <c r="P173" s="11"/>
      <c r="Q173" s="11"/>
      <c r="R173" s="12"/>
      <c r="S173" s="11"/>
      <c r="T173" s="13"/>
      <c r="U173" s="12"/>
      <c r="V173" s="12"/>
      <c r="W173" s="79">
        <f t="shared" si="36"/>
        <v>3</v>
      </c>
      <c r="X173" s="66">
        <v>1987.02</v>
      </c>
      <c r="Y173" s="66">
        <f t="shared" si="37"/>
        <v>40</v>
      </c>
      <c r="Z173" s="67">
        <v>1</v>
      </c>
    </row>
    <row r="174" spans="1:26" x14ac:dyDescent="0.3">
      <c r="A174" s="64"/>
      <c r="B174" s="29" t="s">
        <v>391</v>
      </c>
      <c r="C174" s="36"/>
      <c r="D174" s="21"/>
      <c r="E174" s="22"/>
      <c r="F174" s="22">
        <v>30049000</v>
      </c>
      <c r="G174" s="22" t="s">
        <v>368</v>
      </c>
      <c r="H174" s="23">
        <v>115</v>
      </c>
      <c r="I174" s="39" t="s">
        <v>13</v>
      </c>
      <c r="J174" s="24">
        <v>1240</v>
      </c>
      <c r="K174" s="23">
        <v>142761.78</v>
      </c>
      <c r="L174" s="23">
        <v>2856</v>
      </c>
      <c r="M174" s="24"/>
      <c r="N174" s="24"/>
      <c r="O174" s="11"/>
      <c r="P174" s="11"/>
      <c r="Q174" s="11"/>
      <c r="R174" s="12"/>
      <c r="S174" s="11"/>
      <c r="T174" s="13"/>
      <c r="U174" s="12"/>
      <c r="V174" s="12"/>
      <c r="W174" s="79">
        <f t="shared" si="36"/>
        <v>1240</v>
      </c>
      <c r="X174" s="66">
        <v>142761.78</v>
      </c>
      <c r="Y174" s="66">
        <f t="shared" si="37"/>
        <v>2856</v>
      </c>
      <c r="Z174" s="67">
        <v>115</v>
      </c>
    </row>
    <row r="175" spans="1:26" x14ac:dyDescent="0.3">
      <c r="A175" s="64"/>
      <c r="B175" s="29" t="s">
        <v>392</v>
      </c>
      <c r="C175" s="36"/>
      <c r="D175" s="21"/>
      <c r="E175" s="22"/>
      <c r="F175" s="22">
        <v>30049000</v>
      </c>
      <c r="G175" s="22" t="s">
        <v>368</v>
      </c>
      <c r="H175" s="23">
        <v>1</v>
      </c>
      <c r="I175" s="39" t="s">
        <v>13</v>
      </c>
      <c r="J175" s="24">
        <v>14</v>
      </c>
      <c r="K175" s="23">
        <v>1382.92</v>
      </c>
      <c r="L175" s="23">
        <v>28</v>
      </c>
      <c r="M175" s="24"/>
      <c r="N175" s="24"/>
      <c r="O175" s="11"/>
      <c r="P175" s="11"/>
      <c r="Q175" s="11"/>
      <c r="R175" s="12"/>
      <c r="S175" s="11"/>
      <c r="T175" s="13"/>
      <c r="U175" s="12"/>
      <c r="V175" s="12"/>
      <c r="W175" s="79">
        <f t="shared" si="36"/>
        <v>14</v>
      </c>
      <c r="X175" s="66">
        <v>1382.92</v>
      </c>
      <c r="Y175" s="66">
        <f t="shared" si="37"/>
        <v>28</v>
      </c>
      <c r="Z175" s="67">
        <v>1</v>
      </c>
    </row>
    <row r="176" spans="1:26" x14ac:dyDescent="0.3">
      <c r="A176" s="64"/>
      <c r="B176" s="29" t="s">
        <v>393</v>
      </c>
      <c r="C176" s="36"/>
      <c r="D176" s="21"/>
      <c r="E176" s="22"/>
      <c r="F176" s="22">
        <v>30049000</v>
      </c>
      <c r="G176" s="22" t="s">
        <v>368</v>
      </c>
      <c r="H176" s="23">
        <v>1</v>
      </c>
      <c r="I176" s="39" t="s">
        <v>13</v>
      </c>
      <c r="J176" s="24">
        <v>12</v>
      </c>
      <c r="K176" s="23">
        <v>1283.97</v>
      </c>
      <c r="L176" s="23">
        <v>26</v>
      </c>
      <c r="M176" s="24"/>
      <c r="N176" s="24"/>
      <c r="O176" s="11"/>
      <c r="P176" s="11"/>
      <c r="Q176" s="11"/>
      <c r="R176" s="12"/>
      <c r="S176" s="11"/>
      <c r="T176" s="13"/>
      <c r="U176" s="12"/>
      <c r="V176" s="12"/>
      <c r="W176" s="79">
        <f t="shared" si="36"/>
        <v>12</v>
      </c>
      <c r="X176" s="66">
        <v>1283.97</v>
      </c>
      <c r="Y176" s="66">
        <f t="shared" si="37"/>
        <v>26</v>
      </c>
      <c r="Z176" s="67">
        <v>1</v>
      </c>
    </row>
    <row r="177" spans="1:26" x14ac:dyDescent="0.3">
      <c r="A177" s="64"/>
      <c r="B177" s="29" t="s">
        <v>394</v>
      </c>
      <c r="C177" s="36"/>
      <c r="D177" s="21"/>
      <c r="E177" s="22"/>
      <c r="F177" s="22">
        <v>30049000</v>
      </c>
      <c r="G177" s="22" t="s">
        <v>368</v>
      </c>
      <c r="H177" s="23">
        <v>17</v>
      </c>
      <c r="I177" s="39" t="s">
        <v>13</v>
      </c>
      <c r="J177" s="24">
        <v>7633</v>
      </c>
      <c r="K177" s="23">
        <v>222969.79</v>
      </c>
      <c r="L177" s="23">
        <v>4460</v>
      </c>
      <c r="M177" s="24"/>
      <c r="N177" s="24"/>
      <c r="O177" s="11"/>
      <c r="P177" s="11"/>
      <c r="Q177" s="11"/>
      <c r="R177" s="12"/>
      <c r="S177" s="11"/>
      <c r="T177" s="13"/>
      <c r="U177" s="12"/>
      <c r="V177" s="12"/>
      <c r="W177" s="79">
        <f t="shared" si="36"/>
        <v>7633</v>
      </c>
      <c r="X177" s="66">
        <v>222969.79</v>
      </c>
      <c r="Y177" s="66">
        <f t="shared" si="37"/>
        <v>4460</v>
      </c>
      <c r="Z177" s="67">
        <v>17</v>
      </c>
    </row>
    <row r="178" spans="1:26" x14ac:dyDescent="0.3">
      <c r="A178" s="64"/>
      <c r="B178" s="29" t="s">
        <v>395</v>
      </c>
      <c r="C178" s="36"/>
      <c r="D178" s="21"/>
      <c r="E178" s="22"/>
      <c r="F178" s="22">
        <v>30049000</v>
      </c>
      <c r="G178" s="22" t="s">
        <v>368</v>
      </c>
      <c r="H178" s="23">
        <v>1</v>
      </c>
      <c r="I178" s="39" t="s">
        <v>13</v>
      </c>
      <c r="J178" s="24">
        <v>11</v>
      </c>
      <c r="K178" s="23">
        <v>25869.95</v>
      </c>
      <c r="L178" s="23">
        <v>518</v>
      </c>
      <c r="M178" s="24"/>
      <c r="N178" s="24"/>
      <c r="O178" s="11"/>
      <c r="P178" s="11"/>
      <c r="Q178" s="11"/>
      <c r="R178" s="12"/>
      <c r="S178" s="11"/>
      <c r="T178" s="13"/>
      <c r="U178" s="12"/>
      <c r="V178" s="12"/>
      <c r="W178" s="79">
        <f t="shared" si="36"/>
        <v>11</v>
      </c>
      <c r="X178" s="66">
        <v>25869.95</v>
      </c>
      <c r="Y178" s="66">
        <f t="shared" si="37"/>
        <v>518</v>
      </c>
      <c r="Z178" s="67">
        <v>1</v>
      </c>
    </row>
    <row r="179" spans="1:26" x14ac:dyDescent="0.3">
      <c r="A179" s="85"/>
      <c r="B179" s="93" t="s">
        <v>396</v>
      </c>
      <c r="C179" s="108"/>
      <c r="D179" s="88"/>
      <c r="E179" s="89"/>
      <c r="F179" s="89">
        <v>30049000</v>
      </c>
      <c r="G179" s="89" t="s">
        <v>368</v>
      </c>
      <c r="H179" s="90">
        <v>5</v>
      </c>
      <c r="I179" s="107" t="s">
        <v>13</v>
      </c>
      <c r="J179" s="91">
        <v>54</v>
      </c>
      <c r="K179" s="90">
        <v>6216.76</v>
      </c>
      <c r="L179" s="90">
        <v>125</v>
      </c>
      <c r="M179" s="91" t="s">
        <v>397</v>
      </c>
      <c r="N179" s="91" t="s">
        <v>398</v>
      </c>
      <c r="O179" s="88">
        <v>46128</v>
      </c>
      <c r="P179" s="89" t="s">
        <v>399</v>
      </c>
      <c r="Q179" s="89"/>
      <c r="R179" s="90">
        <v>5</v>
      </c>
      <c r="S179" s="89" t="s">
        <v>13</v>
      </c>
      <c r="T179" s="91">
        <v>54</v>
      </c>
      <c r="U179" s="90">
        <v>6216.76</v>
      </c>
      <c r="V179" s="90">
        <v>125</v>
      </c>
      <c r="W179" s="79">
        <v>0</v>
      </c>
      <c r="X179" s="66">
        <v>0</v>
      </c>
      <c r="Y179" s="66">
        <f>L179-V179</f>
        <v>0</v>
      </c>
      <c r="Z179" s="67">
        <v>0</v>
      </c>
    </row>
    <row r="180" spans="1:26" x14ac:dyDescent="0.3">
      <c r="A180" s="64"/>
      <c r="B180" s="29" t="s">
        <v>400</v>
      </c>
      <c r="C180" s="36"/>
      <c r="D180" s="21"/>
      <c r="E180" s="22"/>
      <c r="F180" s="22">
        <v>30049000</v>
      </c>
      <c r="G180" s="22" t="s">
        <v>368</v>
      </c>
      <c r="H180" s="23">
        <v>312</v>
      </c>
      <c r="I180" s="39" t="s">
        <v>13</v>
      </c>
      <c r="J180" s="24">
        <v>3355</v>
      </c>
      <c r="K180" s="23">
        <v>386291.73</v>
      </c>
      <c r="L180" s="23">
        <v>7726</v>
      </c>
      <c r="M180" s="24" t="s">
        <v>401</v>
      </c>
      <c r="N180" s="24" t="s">
        <v>402</v>
      </c>
      <c r="O180" s="16">
        <v>46216</v>
      </c>
      <c r="P180" s="11" t="s">
        <v>403</v>
      </c>
      <c r="Q180" s="11"/>
      <c r="R180" s="12">
        <v>116</v>
      </c>
      <c r="S180" s="11" t="s">
        <v>13</v>
      </c>
      <c r="T180" s="13">
        <v>1246</v>
      </c>
      <c r="U180" s="12">
        <f>(K180*T180)/J180</f>
        <v>143463.33698360654</v>
      </c>
      <c r="V180" s="12">
        <f>(T180*L180)/J180</f>
        <v>2869.328166915052</v>
      </c>
      <c r="W180" s="79">
        <f>J180-T180-T181</f>
        <v>1846</v>
      </c>
      <c r="X180" s="66">
        <f>K180-U180-U181</f>
        <v>212546.80583606559</v>
      </c>
      <c r="Y180" s="66">
        <f>L180-V180-V181</f>
        <v>4251.0271236959761</v>
      </c>
      <c r="Z180" s="67">
        <f>H180-R180-R181</f>
        <v>172</v>
      </c>
    </row>
    <row r="181" spans="1:26" x14ac:dyDescent="0.3">
      <c r="A181" s="64"/>
      <c r="B181" s="29"/>
      <c r="C181" s="36"/>
      <c r="D181" s="21"/>
      <c r="E181" s="22"/>
      <c r="F181" s="22"/>
      <c r="G181" s="22"/>
      <c r="H181" s="23"/>
      <c r="I181" s="39"/>
      <c r="J181" s="24"/>
      <c r="K181" s="23"/>
      <c r="L181" s="23"/>
      <c r="M181" s="24" t="s">
        <v>404</v>
      </c>
      <c r="N181" s="24" t="s">
        <v>405</v>
      </c>
      <c r="O181" s="16">
        <v>46246</v>
      </c>
      <c r="P181" s="11" t="s">
        <v>406</v>
      </c>
      <c r="Q181" s="11"/>
      <c r="R181" s="12">
        <v>24</v>
      </c>
      <c r="S181" s="11" t="s">
        <v>13</v>
      </c>
      <c r="T181" s="13">
        <v>263</v>
      </c>
      <c r="U181" s="12">
        <f>(K180*T181)/J180</f>
        <v>30281.587180327868</v>
      </c>
      <c r="V181" s="12">
        <f>(T181*L180)/J180</f>
        <v>605.64470938897171</v>
      </c>
      <c r="W181" s="79"/>
      <c r="X181" s="66"/>
      <c r="Y181" s="66"/>
      <c r="Z181" s="67"/>
    </row>
    <row r="182" spans="1:26" x14ac:dyDescent="0.3">
      <c r="A182" s="64"/>
      <c r="B182" s="29" t="s">
        <v>407</v>
      </c>
      <c r="C182" s="36"/>
      <c r="D182" s="21"/>
      <c r="E182" s="22"/>
      <c r="F182" s="22">
        <v>30049000</v>
      </c>
      <c r="G182" s="22" t="s">
        <v>368</v>
      </c>
      <c r="H182" s="23">
        <v>4</v>
      </c>
      <c r="I182" s="39" t="s">
        <v>13</v>
      </c>
      <c r="J182" s="24">
        <v>40</v>
      </c>
      <c r="K182" s="23">
        <v>12166.42</v>
      </c>
      <c r="L182" s="23">
        <v>244</v>
      </c>
      <c r="M182" s="24"/>
      <c r="N182" s="24"/>
      <c r="O182" s="11"/>
      <c r="P182" s="11"/>
      <c r="Q182" s="11"/>
      <c r="R182" s="12"/>
      <c r="S182" s="11"/>
      <c r="T182" s="13"/>
      <c r="U182" s="12"/>
      <c r="V182" s="12"/>
      <c r="W182" s="79">
        <f>J182-T182</f>
        <v>40</v>
      </c>
      <c r="X182" s="66">
        <v>12166.42</v>
      </c>
      <c r="Y182" s="66">
        <f t="shared" si="37"/>
        <v>244</v>
      </c>
      <c r="Z182" s="67">
        <v>4</v>
      </c>
    </row>
    <row r="183" spans="1:26" x14ac:dyDescent="0.3">
      <c r="A183" s="1"/>
      <c r="B183" s="10"/>
      <c r="C183" s="11"/>
      <c r="D183" s="11"/>
      <c r="E183" s="11"/>
      <c r="F183" s="11"/>
      <c r="G183" s="11"/>
      <c r="H183" s="12"/>
      <c r="I183" s="11"/>
      <c r="J183" s="13"/>
      <c r="K183" s="12"/>
      <c r="L183" s="12"/>
      <c r="M183" s="11"/>
      <c r="N183" s="11"/>
      <c r="O183" s="11"/>
      <c r="P183" s="11"/>
      <c r="Q183" s="11"/>
      <c r="R183" s="12"/>
      <c r="S183" s="11"/>
      <c r="T183" s="13"/>
      <c r="U183" s="12"/>
      <c r="V183" s="12"/>
      <c r="W183" s="134"/>
      <c r="X183" s="68"/>
      <c r="Y183" s="150"/>
      <c r="Z183" s="81"/>
    </row>
    <row r="184" spans="1:26" x14ac:dyDescent="0.3">
      <c r="A184" s="65" t="s">
        <v>408</v>
      </c>
      <c r="B184" s="19" t="s">
        <v>409</v>
      </c>
      <c r="C184" s="177" t="s">
        <v>410</v>
      </c>
      <c r="D184" s="21">
        <v>46001</v>
      </c>
      <c r="E184" s="39" t="s">
        <v>411</v>
      </c>
      <c r="F184" s="39">
        <v>30049000</v>
      </c>
      <c r="G184" s="39" t="s">
        <v>4</v>
      </c>
      <c r="H184" s="40">
        <v>93</v>
      </c>
      <c r="I184" s="39" t="s">
        <v>13</v>
      </c>
      <c r="J184" s="38">
        <v>62</v>
      </c>
      <c r="K184" s="40">
        <v>97168.33</v>
      </c>
      <c r="L184" s="40">
        <v>0</v>
      </c>
      <c r="M184" s="169" t="s">
        <v>204</v>
      </c>
      <c r="N184" s="169" t="s">
        <v>205</v>
      </c>
      <c r="O184" s="31">
        <v>46212</v>
      </c>
      <c r="P184" s="32" t="s">
        <v>412</v>
      </c>
      <c r="Q184" s="11"/>
      <c r="R184" s="12">
        <v>3</v>
      </c>
      <c r="S184" s="11" t="s">
        <v>13</v>
      </c>
      <c r="T184" s="13">
        <v>5</v>
      </c>
      <c r="U184" s="33">
        <f>(K184*T184)/62</f>
        <v>7836.1556451612905</v>
      </c>
      <c r="V184" s="33">
        <f>(T184*L184)/J184</f>
        <v>0</v>
      </c>
      <c r="W184" s="79">
        <f>J184-T184</f>
        <v>57</v>
      </c>
      <c r="X184" s="66">
        <f>K184-U184</f>
        <v>89332.174354838717</v>
      </c>
      <c r="Y184" s="66">
        <f t="shared" ref="Y184" si="39">L184-V184</f>
        <v>0</v>
      </c>
      <c r="Z184" s="67">
        <f>H184-R184</f>
        <v>90</v>
      </c>
    </row>
    <row r="185" spans="1:26" s="60" customFormat="1" x14ac:dyDescent="0.3">
      <c r="A185" s="85"/>
      <c r="B185" s="106" t="s">
        <v>413</v>
      </c>
      <c r="C185" s="111"/>
      <c r="D185" s="182"/>
      <c r="E185" s="107"/>
      <c r="F185" s="107">
        <v>30049000</v>
      </c>
      <c r="G185" s="107" t="s">
        <v>4</v>
      </c>
      <c r="H185" s="100">
        <v>62</v>
      </c>
      <c r="I185" s="107" t="s">
        <v>13</v>
      </c>
      <c r="J185" s="99">
        <v>200</v>
      </c>
      <c r="K185" s="100">
        <v>193964.25</v>
      </c>
      <c r="L185" s="100">
        <v>0</v>
      </c>
      <c r="M185" s="99" t="s">
        <v>401</v>
      </c>
      <c r="N185" s="99" t="s">
        <v>402</v>
      </c>
      <c r="O185" s="182">
        <v>46216</v>
      </c>
      <c r="P185" s="107" t="s">
        <v>414</v>
      </c>
      <c r="Q185" s="107"/>
      <c r="R185" s="100">
        <f>(H185*T185)/J185</f>
        <v>26.35</v>
      </c>
      <c r="S185" s="107" t="s">
        <v>13</v>
      </c>
      <c r="T185" s="99">
        <v>85</v>
      </c>
      <c r="U185" s="100">
        <f>(K185*T185)/J185</f>
        <v>82434.806249999994</v>
      </c>
      <c r="V185" s="100">
        <f>(T185*L185)/J185</f>
        <v>0</v>
      </c>
      <c r="W185" s="133">
        <f>J185-T185-T186</f>
        <v>0</v>
      </c>
      <c r="X185" s="71">
        <f>K185-U185-U186</f>
        <v>0</v>
      </c>
      <c r="Y185" s="71">
        <f>L185-V185-V186</f>
        <v>0</v>
      </c>
      <c r="Z185" s="119">
        <f>H185-R185-R186</f>
        <v>0</v>
      </c>
    </row>
    <row r="186" spans="1:26" s="60" customFormat="1" x14ac:dyDescent="0.3">
      <c r="A186" s="85"/>
      <c r="B186" s="106"/>
      <c r="C186" s="111"/>
      <c r="D186" s="182"/>
      <c r="E186" s="107"/>
      <c r="F186" s="107"/>
      <c r="G186" s="107"/>
      <c r="H186" s="100"/>
      <c r="I186" s="107"/>
      <c r="J186" s="99"/>
      <c r="K186" s="100"/>
      <c r="L186" s="100"/>
      <c r="M186" s="99" t="s">
        <v>204</v>
      </c>
      <c r="N186" s="99" t="s">
        <v>205</v>
      </c>
      <c r="O186" s="182">
        <v>46212</v>
      </c>
      <c r="P186" s="107" t="s">
        <v>412</v>
      </c>
      <c r="Q186" s="107"/>
      <c r="R186" s="100">
        <f>(H185*T186)/J185</f>
        <v>35.65</v>
      </c>
      <c r="S186" s="107" t="s">
        <v>13</v>
      </c>
      <c r="T186" s="99">
        <v>115</v>
      </c>
      <c r="U186" s="100">
        <f>(K185*T186)/200</f>
        <v>111529.44375000001</v>
      </c>
      <c r="V186" s="100">
        <f>(T186*L185)/J185</f>
        <v>0</v>
      </c>
      <c r="W186" s="133">
        <v>0</v>
      </c>
      <c r="X186" s="71">
        <v>0</v>
      </c>
      <c r="Y186" s="71">
        <v>0</v>
      </c>
      <c r="Z186" s="119">
        <v>0</v>
      </c>
    </row>
    <row r="187" spans="1:26" x14ac:dyDescent="0.3">
      <c r="A187" s="65"/>
      <c r="B187" s="19" t="s">
        <v>415</v>
      </c>
      <c r="C187" s="20"/>
      <c r="D187" s="21"/>
      <c r="E187" s="39"/>
      <c r="F187" s="39">
        <v>30049000</v>
      </c>
      <c r="G187" s="39" t="s">
        <v>4</v>
      </c>
      <c r="H187" s="40">
        <v>30</v>
      </c>
      <c r="I187" s="39" t="s">
        <v>13</v>
      </c>
      <c r="J187" s="38">
        <v>200</v>
      </c>
      <c r="K187" s="40">
        <v>10862</v>
      </c>
      <c r="L187" s="40">
        <v>0</v>
      </c>
      <c r="M187" s="57"/>
      <c r="N187" s="57"/>
      <c r="O187" s="11"/>
      <c r="P187" s="11"/>
      <c r="Q187" s="11"/>
      <c r="R187" s="12"/>
      <c r="S187" s="11"/>
      <c r="T187" s="13"/>
      <c r="U187" s="12"/>
      <c r="V187" s="12"/>
      <c r="W187" s="79">
        <f>J187-T187</f>
        <v>200</v>
      </c>
      <c r="X187" s="66">
        <v>10862</v>
      </c>
      <c r="Y187" s="66">
        <f t="shared" si="37"/>
        <v>0</v>
      </c>
      <c r="Z187" s="67">
        <v>30</v>
      </c>
    </row>
    <row r="188" spans="1:26" x14ac:dyDescent="0.3">
      <c r="A188" s="65"/>
      <c r="B188" s="19" t="s">
        <v>416</v>
      </c>
      <c r="C188" s="20"/>
      <c r="D188" s="21"/>
      <c r="E188" s="39"/>
      <c r="F188" s="39">
        <v>30049000</v>
      </c>
      <c r="G188" s="39" t="s">
        <v>4</v>
      </c>
      <c r="H188" s="40">
        <v>465</v>
      </c>
      <c r="I188" s="39" t="s">
        <v>13</v>
      </c>
      <c r="J188" s="38">
        <f>2880+620</f>
        <v>3500</v>
      </c>
      <c r="K188" s="40">
        <v>190084.96</v>
      </c>
      <c r="L188" s="40">
        <v>0</v>
      </c>
      <c r="M188" s="57"/>
      <c r="N188" s="57"/>
      <c r="O188" s="11"/>
      <c r="P188" s="11"/>
      <c r="Q188" s="11"/>
      <c r="R188" s="12"/>
      <c r="S188" s="11"/>
      <c r="T188" s="13"/>
      <c r="U188" s="12"/>
      <c r="V188" s="12"/>
      <c r="W188" s="79">
        <f>J188-T188</f>
        <v>3500</v>
      </c>
      <c r="X188" s="66">
        <v>190084.96</v>
      </c>
      <c r="Y188" s="66">
        <f t="shared" si="37"/>
        <v>0</v>
      </c>
      <c r="Z188" s="67">
        <v>465</v>
      </c>
    </row>
    <row r="189" spans="1:26" x14ac:dyDescent="0.3">
      <c r="A189" s="1"/>
      <c r="B189" s="10"/>
      <c r="C189" s="11"/>
      <c r="D189" s="11"/>
      <c r="E189" s="11"/>
      <c r="F189" s="11"/>
      <c r="G189" s="11"/>
      <c r="H189" s="12"/>
      <c r="I189" s="11"/>
      <c r="J189" s="13"/>
      <c r="K189" s="12"/>
      <c r="L189" s="12"/>
      <c r="M189" s="11"/>
      <c r="N189" s="11"/>
      <c r="O189" s="11"/>
      <c r="P189" s="11"/>
      <c r="Q189" s="11"/>
      <c r="R189" s="12"/>
      <c r="S189" s="11"/>
      <c r="T189" s="13"/>
      <c r="U189" s="12"/>
      <c r="V189" s="12"/>
      <c r="W189" s="134"/>
      <c r="X189" s="68"/>
      <c r="Y189" s="150"/>
      <c r="Z189" s="81"/>
    </row>
    <row r="190" spans="1:26" x14ac:dyDescent="0.3">
      <c r="A190" s="106" t="s">
        <v>417</v>
      </c>
      <c r="B190" s="86" t="s">
        <v>418</v>
      </c>
      <c r="C190" s="87" t="s">
        <v>419</v>
      </c>
      <c r="D190" s="88">
        <v>46034</v>
      </c>
      <c r="E190" s="107" t="s">
        <v>420</v>
      </c>
      <c r="F190" s="107">
        <v>30042000</v>
      </c>
      <c r="G190" s="107" t="s">
        <v>12</v>
      </c>
      <c r="H190" s="100">
        <v>325.24</v>
      </c>
      <c r="I190" s="107" t="s">
        <v>13</v>
      </c>
      <c r="J190" s="99">
        <v>938</v>
      </c>
      <c r="K190" s="115">
        <v>779497.73</v>
      </c>
      <c r="L190" s="115">
        <v>15840</v>
      </c>
      <c r="M190" s="89" t="s">
        <v>421</v>
      </c>
      <c r="N190" s="89" t="s">
        <v>422</v>
      </c>
      <c r="O190" s="88">
        <v>46105</v>
      </c>
      <c r="P190" s="89" t="s">
        <v>423</v>
      </c>
      <c r="Q190" s="89" t="s">
        <v>424</v>
      </c>
      <c r="R190" s="100">
        <v>325.24</v>
      </c>
      <c r="S190" s="107" t="s">
        <v>13</v>
      </c>
      <c r="T190" s="91">
        <v>938</v>
      </c>
      <c r="U190" s="100">
        <v>779497.73</v>
      </c>
      <c r="V190" s="115">
        <v>15840</v>
      </c>
      <c r="W190" s="79">
        <f>J190-T190</f>
        <v>0</v>
      </c>
      <c r="X190" s="79">
        <v>0</v>
      </c>
      <c r="Y190" s="66">
        <f t="shared" si="37"/>
        <v>0</v>
      </c>
      <c r="Z190" s="79">
        <v>0</v>
      </c>
    </row>
    <row r="191" spans="1:26" x14ac:dyDescent="0.3">
      <c r="A191" s="1"/>
      <c r="B191" s="10"/>
      <c r="C191" s="11"/>
      <c r="D191" s="11"/>
      <c r="E191" s="11"/>
      <c r="F191" s="11"/>
      <c r="G191" s="11"/>
      <c r="H191" s="12"/>
      <c r="I191" s="11"/>
      <c r="J191" s="13"/>
      <c r="K191" s="12"/>
      <c r="L191" s="12"/>
      <c r="M191" s="11"/>
      <c r="N191" s="11"/>
      <c r="O191" s="11"/>
      <c r="P191" s="11"/>
      <c r="Q191" s="11"/>
      <c r="R191" s="12"/>
      <c r="S191" s="11"/>
      <c r="T191" s="13"/>
      <c r="U191" s="12"/>
      <c r="V191" s="12"/>
      <c r="W191" s="134"/>
      <c r="X191" s="68"/>
      <c r="Y191" s="150"/>
      <c r="Z191" s="81"/>
    </row>
    <row r="192" spans="1:26" x14ac:dyDescent="0.3">
      <c r="A192" s="1" t="s">
        <v>425</v>
      </c>
      <c r="B192" s="14" t="s">
        <v>426</v>
      </c>
      <c r="C192" s="15" t="s">
        <v>427</v>
      </c>
      <c r="D192" s="16">
        <v>46034</v>
      </c>
      <c r="E192" s="11" t="s">
        <v>428</v>
      </c>
      <c r="F192" s="11">
        <v>30042000</v>
      </c>
      <c r="G192" s="11" t="s">
        <v>12</v>
      </c>
      <c r="H192" s="12">
        <v>101.6</v>
      </c>
      <c r="I192" s="11" t="s">
        <v>13</v>
      </c>
      <c r="J192" s="13">
        <v>625</v>
      </c>
      <c r="K192" s="12">
        <v>274374.38</v>
      </c>
      <c r="L192" s="12">
        <v>5738</v>
      </c>
      <c r="M192" s="11"/>
      <c r="N192" s="11"/>
      <c r="O192" s="11"/>
      <c r="P192" s="11"/>
      <c r="Q192" s="11"/>
      <c r="R192" s="12"/>
      <c r="S192" s="11"/>
      <c r="T192" s="13"/>
      <c r="U192" s="12"/>
      <c r="V192" s="12"/>
      <c r="W192" s="79">
        <f>J192-T192</f>
        <v>625</v>
      </c>
      <c r="X192" s="66">
        <v>274374.38</v>
      </c>
      <c r="Y192" s="66">
        <f t="shared" si="37"/>
        <v>5738</v>
      </c>
      <c r="Z192" s="67">
        <v>101.6</v>
      </c>
    </row>
    <row r="193" spans="1:26" x14ac:dyDescent="0.3">
      <c r="A193" s="1"/>
      <c r="B193" s="10"/>
      <c r="C193" s="11"/>
      <c r="D193" s="11"/>
      <c r="E193" s="11"/>
      <c r="F193" s="11"/>
      <c r="G193" s="11"/>
      <c r="H193" s="12"/>
      <c r="I193" s="11"/>
      <c r="J193" s="13"/>
      <c r="K193" s="12"/>
      <c r="L193" s="12"/>
      <c r="M193" s="11"/>
      <c r="N193" s="11"/>
      <c r="O193" s="11"/>
      <c r="P193" s="11"/>
      <c r="Q193" s="11"/>
      <c r="R193" s="12"/>
      <c r="S193" s="11"/>
      <c r="T193" s="13"/>
      <c r="U193" s="12"/>
      <c r="V193" s="12"/>
      <c r="W193" s="134"/>
      <c r="X193" s="68"/>
      <c r="Y193" s="150"/>
      <c r="Z193" s="81"/>
    </row>
    <row r="194" spans="1:26" x14ac:dyDescent="0.3">
      <c r="A194" s="64" t="s">
        <v>429</v>
      </c>
      <c r="B194" s="14" t="s">
        <v>430</v>
      </c>
      <c r="C194" s="15" t="s">
        <v>431</v>
      </c>
      <c r="D194" s="16">
        <v>46044</v>
      </c>
      <c r="E194" s="11" t="s">
        <v>432</v>
      </c>
      <c r="F194" s="11">
        <v>30042000</v>
      </c>
      <c r="G194" s="11" t="s">
        <v>12</v>
      </c>
      <c r="H194" s="12">
        <v>49</v>
      </c>
      <c r="I194" s="11" t="s">
        <v>13</v>
      </c>
      <c r="J194" s="13">
        <v>1000</v>
      </c>
      <c r="K194" s="12">
        <v>87937.34</v>
      </c>
      <c r="L194" s="12">
        <v>2009</v>
      </c>
      <c r="M194" s="11" t="s">
        <v>433</v>
      </c>
      <c r="N194" s="11" t="s">
        <v>434</v>
      </c>
      <c r="O194" s="16">
        <v>46244</v>
      </c>
      <c r="P194" s="11" t="s">
        <v>435</v>
      </c>
      <c r="Q194" s="11"/>
      <c r="R194" s="12">
        <v>49</v>
      </c>
      <c r="S194" s="11" t="s">
        <v>13</v>
      </c>
      <c r="T194" s="13">
        <v>1000</v>
      </c>
      <c r="U194" s="44">
        <f>(T194*K194)/J194</f>
        <v>87937.34</v>
      </c>
      <c r="V194" s="44">
        <f>(T194*L194)/J194</f>
        <v>2009</v>
      </c>
      <c r="W194" s="79">
        <f t="shared" ref="W194" si="40">J194-T194</f>
        <v>0</v>
      </c>
      <c r="X194" s="66">
        <f t="shared" ref="X194" si="41">K194-U194</f>
        <v>0</v>
      </c>
      <c r="Y194" s="66">
        <f t="shared" ref="Y194" si="42">L194-V194</f>
        <v>0</v>
      </c>
      <c r="Z194" s="67">
        <f t="shared" ref="Z194" si="43">H194-R194</f>
        <v>0</v>
      </c>
    </row>
    <row r="195" spans="1:26" x14ac:dyDescent="0.3">
      <c r="A195" s="64"/>
      <c r="B195" s="10" t="s">
        <v>436</v>
      </c>
      <c r="C195" s="15"/>
      <c r="D195" s="16"/>
      <c r="E195" s="11"/>
      <c r="F195" s="11">
        <v>30042000</v>
      </c>
      <c r="G195" s="11" t="s">
        <v>12</v>
      </c>
      <c r="H195" s="12">
        <v>69</v>
      </c>
      <c r="I195" s="11" t="s">
        <v>13</v>
      </c>
      <c r="J195" s="13">
        <v>500</v>
      </c>
      <c r="K195" s="12">
        <v>125071.42</v>
      </c>
      <c r="L195" s="12">
        <v>2502</v>
      </c>
      <c r="M195" s="11"/>
      <c r="N195" s="11"/>
      <c r="O195" s="11"/>
      <c r="P195" s="11"/>
      <c r="Q195" s="11"/>
      <c r="R195" s="12"/>
      <c r="S195" s="11"/>
      <c r="T195" s="13"/>
      <c r="U195" s="12"/>
      <c r="V195" s="12"/>
      <c r="W195" s="79">
        <f>J195-T195</f>
        <v>500</v>
      </c>
      <c r="X195" s="66">
        <v>125071.42</v>
      </c>
      <c r="Y195" s="66">
        <f t="shared" si="37"/>
        <v>2502</v>
      </c>
      <c r="Z195" s="67">
        <v>69</v>
      </c>
    </row>
    <row r="196" spans="1:26" x14ac:dyDescent="0.3">
      <c r="A196" s="64"/>
      <c r="B196" s="14" t="s">
        <v>437</v>
      </c>
      <c r="C196" s="15"/>
      <c r="D196" s="16"/>
      <c r="E196" s="11"/>
      <c r="F196" s="11">
        <v>30049000</v>
      </c>
      <c r="G196" s="11" t="s">
        <v>12</v>
      </c>
      <c r="H196" s="12">
        <v>133</v>
      </c>
      <c r="I196" s="11" t="s">
        <v>13</v>
      </c>
      <c r="J196" s="13">
        <v>200</v>
      </c>
      <c r="K196" s="12">
        <v>240145.97</v>
      </c>
      <c r="L196" s="12">
        <v>4803</v>
      </c>
      <c r="M196" s="11"/>
      <c r="N196" s="11"/>
      <c r="O196" s="11"/>
      <c r="P196" s="11"/>
      <c r="Q196" s="11"/>
      <c r="R196" s="12"/>
      <c r="S196" s="11"/>
      <c r="T196" s="13"/>
      <c r="U196" s="12"/>
      <c r="V196" s="12"/>
      <c r="W196" s="79">
        <f>J196-T196</f>
        <v>200</v>
      </c>
      <c r="X196" s="66">
        <v>240145.97</v>
      </c>
      <c r="Y196" s="66">
        <f t="shared" si="37"/>
        <v>4803</v>
      </c>
      <c r="Z196" s="67">
        <v>133</v>
      </c>
    </row>
    <row r="197" spans="1:26" x14ac:dyDescent="0.3">
      <c r="A197" s="64"/>
      <c r="B197" s="14" t="s">
        <v>438</v>
      </c>
      <c r="C197" s="15"/>
      <c r="D197" s="16"/>
      <c r="E197" s="11"/>
      <c r="F197" s="11">
        <v>30049000</v>
      </c>
      <c r="G197" s="11" t="s">
        <v>12</v>
      </c>
      <c r="H197" s="12">
        <v>73</v>
      </c>
      <c r="I197" s="11" t="s">
        <v>13</v>
      </c>
      <c r="J197" s="13">
        <v>1000</v>
      </c>
      <c r="K197" s="12">
        <v>130395.73</v>
      </c>
      <c r="L197" s="12">
        <v>2608</v>
      </c>
      <c r="M197" s="11"/>
      <c r="N197" s="11"/>
      <c r="O197" s="16"/>
      <c r="P197" s="11"/>
      <c r="Q197" s="11"/>
      <c r="R197" s="12"/>
      <c r="S197" s="11"/>
      <c r="T197" s="13"/>
      <c r="U197" s="12"/>
      <c r="V197" s="12"/>
      <c r="W197" s="79">
        <f>J197-T197</f>
        <v>1000</v>
      </c>
      <c r="X197" s="66">
        <v>130395.73</v>
      </c>
      <c r="Y197" s="66">
        <f t="shared" si="37"/>
        <v>2608</v>
      </c>
      <c r="Z197" s="67">
        <v>73</v>
      </c>
    </row>
    <row r="198" spans="1:26" x14ac:dyDescent="0.3">
      <c r="A198" s="64"/>
      <c r="B198" s="41" t="s">
        <v>439</v>
      </c>
      <c r="C198" s="15"/>
      <c r="D198" s="16"/>
      <c r="E198" s="11"/>
      <c r="F198" s="11">
        <v>30042000</v>
      </c>
      <c r="G198" s="11" t="s">
        <v>12</v>
      </c>
      <c r="H198" s="12">
        <v>117</v>
      </c>
      <c r="I198" s="11" t="s">
        <v>13</v>
      </c>
      <c r="J198" s="13">
        <v>500</v>
      </c>
      <c r="K198" s="12">
        <v>210739.07</v>
      </c>
      <c r="L198" s="12">
        <v>4215</v>
      </c>
      <c r="M198" s="11" t="s">
        <v>404</v>
      </c>
      <c r="N198" s="11" t="s">
        <v>405</v>
      </c>
      <c r="O198" s="16">
        <v>46246</v>
      </c>
      <c r="P198" s="11" t="s">
        <v>440</v>
      </c>
      <c r="Q198" s="11"/>
      <c r="R198" s="12">
        <v>23</v>
      </c>
      <c r="S198" s="11" t="s">
        <v>13</v>
      </c>
      <c r="T198" s="13">
        <v>100</v>
      </c>
      <c r="U198" s="44">
        <f>(T198*K198)/J198</f>
        <v>42147.813999999998</v>
      </c>
      <c r="V198" s="44">
        <f>(T198*L198)/J198</f>
        <v>843</v>
      </c>
      <c r="W198" s="79">
        <f>J198-T198</f>
        <v>400</v>
      </c>
      <c r="X198" s="66">
        <v>210739.07</v>
      </c>
      <c r="Y198" s="66">
        <f t="shared" si="37"/>
        <v>3372</v>
      </c>
      <c r="Z198" s="67">
        <v>117</v>
      </c>
    </row>
    <row r="199" spans="1:26" x14ac:dyDescent="0.3">
      <c r="A199" s="1"/>
      <c r="B199" s="10"/>
      <c r="C199" s="11"/>
      <c r="D199" s="11"/>
      <c r="E199" s="11"/>
      <c r="F199" s="11"/>
      <c r="G199" s="11"/>
      <c r="H199" s="12"/>
      <c r="I199" s="11"/>
      <c r="J199" s="13"/>
      <c r="K199" s="12"/>
      <c r="L199" s="12"/>
      <c r="M199" s="11"/>
      <c r="N199" s="11"/>
      <c r="O199" s="11"/>
      <c r="P199" s="11"/>
      <c r="Q199" s="11"/>
      <c r="R199" s="12"/>
      <c r="S199" s="11"/>
      <c r="T199" s="13"/>
      <c r="U199" s="12"/>
      <c r="V199" s="12"/>
      <c r="W199" s="134"/>
      <c r="X199" s="68"/>
      <c r="Y199" s="150"/>
      <c r="Z199" s="81"/>
    </row>
    <row r="200" spans="1:26" ht="28.8" x14ac:dyDescent="0.3">
      <c r="A200" s="106" t="s">
        <v>441</v>
      </c>
      <c r="B200" s="86" t="s">
        <v>442</v>
      </c>
      <c r="C200" s="87" t="s">
        <v>443</v>
      </c>
      <c r="D200" s="88">
        <v>46059</v>
      </c>
      <c r="E200" s="89" t="s">
        <v>444</v>
      </c>
      <c r="F200" s="89">
        <v>84151000</v>
      </c>
      <c r="G200" s="107" t="s">
        <v>445</v>
      </c>
      <c r="H200" s="90">
        <v>4</v>
      </c>
      <c r="I200" s="89" t="s">
        <v>5</v>
      </c>
      <c r="J200" s="91">
        <v>4</v>
      </c>
      <c r="K200" s="90">
        <v>433100.77</v>
      </c>
      <c r="L200" s="100">
        <v>194897</v>
      </c>
      <c r="M200" s="108" t="s">
        <v>446</v>
      </c>
      <c r="N200" s="108" t="s">
        <v>447</v>
      </c>
      <c r="O200" s="88">
        <v>46178</v>
      </c>
      <c r="P200" s="89" t="s">
        <v>448</v>
      </c>
      <c r="Q200" s="89"/>
      <c r="R200" s="90">
        <v>4</v>
      </c>
      <c r="S200" s="89" t="s">
        <v>5</v>
      </c>
      <c r="T200" s="91">
        <v>4</v>
      </c>
      <c r="U200" s="90">
        <v>433100.77</v>
      </c>
      <c r="V200" s="90">
        <v>194897</v>
      </c>
      <c r="W200" s="79">
        <f>SUM(J200-T200)</f>
        <v>0</v>
      </c>
      <c r="X200" s="66">
        <f>SUM(K200-U200)</f>
        <v>0</v>
      </c>
      <c r="Y200" s="66">
        <f t="shared" si="37"/>
        <v>0</v>
      </c>
      <c r="Z200" s="67">
        <v>0</v>
      </c>
    </row>
    <row r="201" spans="1:26" x14ac:dyDescent="0.3">
      <c r="A201" s="1"/>
      <c r="B201" s="10"/>
      <c r="C201" s="11"/>
      <c r="D201" s="11"/>
      <c r="E201" s="11"/>
      <c r="F201" s="11"/>
      <c r="G201" s="11"/>
      <c r="H201" s="12"/>
      <c r="I201" s="11"/>
      <c r="J201" s="13"/>
      <c r="K201" s="12"/>
      <c r="L201" s="12"/>
      <c r="M201" s="11"/>
      <c r="N201" s="11"/>
      <c r="O201" s="11"/>
      <c r="P201" s="11"/>
      <c r="Q201" s="11"/>
      <c r="R201" s="12"/>
      <c r="S201" s="11"/>
      <c r="T201" s="13"/>
      <c r="U201" s="12"/>
      <c r="V201" s="12"/>
      <c r="W201" s="134"/>
      <c r="X201" s="68"/>
      <c r="Y201" s="150"/>
      <c r="Z201" s="81"/>
    </row>
    <row r="202" spans="1:26" s="60" customFormat="1" x14ac:dyDescent="0.3">
      <c r="A202" s="74" t="s">
        <v>408</v>
      </c>
      <c r="B202" s="75" t="s">
        <v>449</v>
      </c>
      <c r="C202" s="43" t="s">
        <v>450</v>
      </c>
      <c r="D202" s="76">
        <v>46056</v>
      </c>
      <c r="E202" s="43" t="s">
        <v>451</v>
      </c>
      <c r="F202" s="43">
        <v>30049000</v>
      </c>
      <c r="G202" s="43" t="s">
        <v>4</v>
      </c>
      <c r="H202" s="44">
        <v>50</v>
      </c>
      <c r="I202" s="43" t="s">
        <v>13</v>
      </c>
      <c r="J202" s="45">
        <v>57</v>
      </c>
      <c r="K202" s="44">
        <v>127426.15</v>
      </c>
      <c r="L202" s="44">
        <v>0</v>
      </c>
      <c r="M202" s="32" t="s">
        <v>404</v>
      </c>
      <c r="N202" s="11" t="s">
        <v>405</v>
      </c>
      <c r="O202" s="16">
        <v>46246</v>
      </c>
      <c r="P202" s="32" t="s">
        <v>452</v>
      </c>
      <c r="Q202" s="32"/>
      <c r="R202" s="33">
        <v>14</v>
      </c>
      <c r="S202" s="32" t="s">
        <v>13</v>
      </c>
      <c r="T202" s="144">
        <v>17</v>
      </c>
      <c r="U202" s="44">
        <f>(T202*K202)/J202</f>
        <v>38004.290350877192</v>
      </c>
      <c r="V202" s="44">
        <f>(T202*L202)/J202</f>
        <v>0</v>
      </c>
      <c r="W202" s="79">
        <f>J202-T202-T203</f>
        <v>21</v>
      </c>
      <c r="X202" s="66">
        <f>K202-U202-U203</f>
        <v>46946.476315789478</v>
      </c>
      <c r="Y202" s="66">
        <f>L202-V202-V203</f>
        <v>0</v>
      </c>
      <c r="Z202" s="67">
        <f>H202-R202-R203</f>
        <v>20</v>
      </c>
    </row>
    <row r="203" spans="1:26" s="60" customFormat="1" x14ac:dyDescent="0.3">
      <c r="A203" s="74"/>
      <c r="B203" s="75"/>
      <c r="C203" s="43"/>
      <c r="D203" s="76"/>
      <c r="E203" s="43"/>
      <c r="F203" s="43"/>
      <c r="G203" s="43"/>
      <c r="H203" s="44"/>
      <c r="I203" s="43"/>
      <c r="J203" s="45"/>
      <c r="K203" s="44"/>
      <c r="L203" s="44"/>
      <c r="M203" s="32" t="s">
        <v>404</v>
      </c>
      <c r="N203" s="11" t="s">
        <v>405</v>
      </c>
      <c r="O203" s="16">
        <v>46246</v>
      </c>
      <c r="P203" s="32" t="s">
        <v>452</v>
      </c>
      <c r="Q203" s="32"/>
      <c r="R203" s="33">
        <v>16</v>
      </c>
      <c r="S203" s="32" t="s">
        <v>13</v>
      </c>
      <c r="T203" s="144">
        <v>19</v>
      </c>
      <c r="U203" s="44">
        <f>(T203*K202)/J202</f>
        <v>42475.383333333331</v>
      </c>
      <c r="V203" s="44">
        <f>(T203*L202)/J202</f>
        <v>0</v>
      </c>
      <c r="W203" s="79"/>
      <c r="X203" s="66"/>
      <c r="Y203" s="66"/>
      <c r="Z203" s="67"/>
    </row>
    <row r="204" spans="1:26" x14ac:dyDescent="0.3">
      <c r="A204" s="1"/>
      <c r="B204" s="10"/>
      <c r="C204" s="11"/>
      <c r="D204" s="11"/>
      <c r="E204" s="11"/>
      <c r="F204" s="11"/>
      <c r="G204" s="11"/>
      <c r="H204" s="12"/>
      <c r="I204" s="11"/>
      <c r="J204" s="13"/>
      <c r="K204" s="12"/>
      <c r="L204" s="12"/>
      <c r="M204" s="11"/>
      <c r="N204" s="11"/>
      <c r="O204" s="11"/>
      <c r="P204" s="11"/>
      <c r="Q204" s="11"/>
      <c r="R204" s="12"/>
      <c r="S204" s="11"/>
      <c r="T204" s="13"/>
      <c r="U204" s="12"/>
      <c r="V204" s="12"/>
      <c r="W204" s="134"/>
      <c r="X204" s="68"/>
      <c r="Y204" s="150"/>
      <c r="Z204" s="81"/>
    </row>
    <row r="205" spans="1:26" x14ac:dyDescent="0.3">
      <c r="A205" s="64" t="s">
        <v>453</v>
      </c>
      <c r="B205" s="46" t="s">
        <v>454</v>
      </c>
      <c r="C205" s="43" t="s">
        <v>455</v>
      </c>
      <c r="D205" s="16">
        <v>46069</v>
      </c>
      <c r="E205" s="11" t="s">
        <v>456</v>
      </c>
      <c r="F205" s="11">
        <v>30059090</v>
      </c>
      <c r="G205" s="11" t="s">
        <v>4</v>
      </c>
      <c r="H205" s="12">
        <v>11.5</v>
      </c>
      <c r="I205" s="11" t="s">
        <v>13</v>
      </c>
      <c r="J205" s="13">
        <v>400</v>
      </c>
      <c r="K205" s="63">
        <v>10321.6</v>
      </c>
      <c r="L205" s="63">
        <v>0</v>
      </c>
      <c r="M205" s="42"/>
      <c r="N205" s="42"/>
      <c r="O205" s="11"/>
      <c r="P205" s="11"/>
      <c r="Q205" s="11"/>
      <c r="R205" s="12"/>
      <c r="S205" s="11"/>
      <c r="T205" s="13"/>
      <c r="U205" s="12"/>
      <c r="V205" s="12"/>
      <c r="W205" s="79">
        <f t="shared" ref="W205:W209" si="44">J205-T205</f>
        <v>400</v>
      </c>
      <c r="X205" s="66">
        <f t="shared" ref="X205:X209" si="45">K205-U205</f>
        <v>10321.6</v>
      </c>
      <c r="Y205" s="66">
        <f t="shared" ref="Y205:Y209" si="46">L205-V205</f>
        <v>0</v>
      </c>
      <c r="Z205" s="67">
        <f t="shared" ref="Z205:Z209" si="47">H205-R205</f>
        <v>11.5</v>
      </c>
    </row>
    <row r="206" spans="1:26" x14ac:dyDescent="0.3">
      <c r="A206" s="64"/>
      <c r="B206" s="14" t="s">
        <v>457</v>
      </c>
      <c r="C206" s="43"/>
      <c r="D206" s="16"/>
      <c r="E206" s="11"/>
      <c r="F206" s="11">
        <v>94029090</v>
      </c>
      <c r="G206" s="11" t="s">
        <v>4</v>
      </c>
      <c r="H206" s="12">
        <v>20.149999999999999</v>
      </c>
      <c r="I206" s="11" t="s">
        <v>13</v>
      </c>
      <c r="J206" s="13">
        <v>3</v>
      </c>
      <c r="K206" s="12">
        <v>47638.06</v>
      </c>
      <c r="L206" s="12">
        <v>0</v>
      </c>
      <c r="M206" s="42"/>
      <c r="N206" s="42"/>
      <c r="O206" s="11"/>
      <c r="P206" s="11"/>
      <c r="Q206" s="11"/>
      <c r="R206" s="12"/>
      <c r="S206" s="11"/>
      <c r="T206" s="13"/>
      <c r="U206" s="12"/>
      <c r="V206" s="12"/>
      <c r="W206" s="79">
        <f t="shared" si="44"/>
        <v>3</v>
      </c>
      <c r="X206" s="66">
        <f t="shared" si="45"/>
        <v>47638.06</v>
      </c>
      <c r="Y206" s="66">
        <f t="shared" si="46"/>
        <v>0</v>
      </c>
      <c r="Z206" s="67">
        <f t="shared" si="47"/>
        <v>20.149999999999999</v>
      </c>
    </row>
    <row r="207" spans="1:26" x14ac:dyDescent="0.3">
      <c r="A207" s="64"/>
      <c r="B207" s="41" t="s">
        <v>458</v>
      </c>
      <c r="C207" s="43"/>
      <c r="D207" s="16"/>
      <c r="E207" s="11"/>
      <c r="F207" s="11">
        <v>84238100</v>
      </c>
      <c r="G207" s="11" t="s">
        <v>4</v>
      </c>
      <c r="H207" s="12">
        <v>5</v>
      </c>
      <c r="I207" s="11" t="s">
        <v>5</v>
      </c>
      <c r="J207" s="13">
        <v>5</v>
      </c>
      <c r="K207" s="12">
        <v>51608</v>
      </c>
      <c r="L207" s="12">
        <v>0</v>
      </c>
      <c r="M207" s="42"/>
      <c r="N207" s="42"/>
      <c r="O207" s="11"/>
      <c r="P207" s="11"/>
      <c r="Q207" s="11"/>
      <c r="R207" s="12"/>
      <c r="S207" s="11"/>
      <c r="T207" s="13"/>
      <c r="U207" s="12"/>
      <c r="V207" s="12"/>
      <c r="W207" s="79">
        <f t="shared" si="44"/>
        <v>5</v>
      </c>
      <c r="X207" s="66">
        <f t="shared" si="45"/>
        <v>51608</v>
      </c>
      <c r="Y207" s="66">
        <f t="shared" si="46"/>
        <v>0</v>
      </c>
      <c r="Z207" s="67">
        <f t="shared" si="47"/>
        <v>5</v>
      </c>
    </row>
    <row r="208" spans="1:26" x14ac:dyDescent="0.3">
      <c r="A208" s="64"/>
      <c r="B208" s="14" t="s">
        <v>459</v>
      </c>
      <c r="C208" s="43"/>
      <c r="D208" s="16"/>
      <c r="E208" s="11"/>
      <c r="F208" s="11">
        <v>90189000</v>
      </c>
      <c r="G208" s="11" t="s">
        <v>4</v>
      </c>
      <c r="H208" s="12">
        <v>10</v>
      </c>
      <c r="I208" s="11" t="s">
        <v>5</v>
      </c>
      <c r="J208" s="13">
        <v>10</v>
      </c>
      <c r="K208" s="12">
        <v>67477.460000000006</v>
      </c>
      <c r="L208" s="12">
        <v>0</v>
      </c>
      <c r="M208" s="42"/>
      <c r="N208" s="42"/>
      <c r="O208" s="11"/>
      <c r="P208" s="11"/>
      <c r="Q208" s="11"/>
      <c r="R208" s="12"/>
      <c r="S208" s="11"/>
      <c r="T208" s="13"/>
      <c r="U208" s="12"/>
      <c r="V208" s="12"/>
      <c r="W208" s="79">
        <f t="shared" si="44"/>
        <v>10</v>
      </c>
      <c r="X208" s="66">
        <f t="shared" si="45"/>
        <v>67477.460000000006</v>
      </c>
      <c r="Y208" s="66">
        <f t="shared" si="46"/>
        <v>0</v>
      </c>
      <c r="Z208" s="67">
        <f t="shared" si="47"/>
        <v>10</v>
      </c>
    </row>
    <row r="209" spans="1:26" x14ac:dyDescent="0.3">
      <c r="A209" s="64"/>
      <c r="B209" s="10" t="s">
        <v>460</v>
      </c>
      <c r="C209" s="43"/>
      <c r="D209" s="16"/>
      <c r="E209" s="11"/>
      <c r="F209" s="11">
        <v>39269090</v>
      </c>
      <c r="G209" s="11" t="s">
        <v>4</v>
      </c>
      <c r="H209" s="12">
        <v>2</v>
      </c>
      <c r="I209" s="11" t="s">
        <v>13</v>
      </c>
      <c r="J209" s="13">
        <v>2</v>
      </c>
      <c r="K209" s="12">
        <v>2381.71</v>
      </c>
      <c r="L209" s="12">
        <v>0</v>
      </c>
      <c r="M209" s="42"/>
      <c r="N209" s="42"/>
      <c r="O209" s="11"/>
      <c r="P209" s="11"/>
      <c r="Q209" s="11"/>
      <c r="R209" s="12"/>
      <c r="S209" s="11"/>
      <c r="T209" s="13"/>
      <c r="U209" s="12"/>
      <c r="V209" s="12"/>
      <c r="W209" s="79">
        <f t="shared" si="44"/>
        <v>2</v>
      </c>
      <c r="X209" s="66">
        <f t="shared" si="45"/>
        <v>2381.71</v>
      </c>
      <c r="Y209" s="66">
        <f t="shared" si="46"/>
        <v>0</v>
      </c>
      <c r="Z209" s="67">
        <f t="shared" si="47"/>
        <v>2</v>
      </c>
    </row>
    <row r="210" spans="1:26" x14ac:dyDescent="0.3">
      <c r="A210" s="1"/>
      <c r="B210" s="10"/>
      <c r="C210" s="11"/>
      <c r="D210" s="11"/>
      <c r="E210" s="11"/>
      <c r="F210" s="11"/>
      <c r="G210" s="11"/>
      <c r="H210" s="12"/>
      <c r="I210" s="11"/>
      <c r="J210" s="13"/>
      <c r="K210" s="12"/>
      <c r="L210" s="12"/>
      <c r="M210" s="11"/>
      <c r="N210" s="11"/>
      <c r="O210" s="11"/>
      <c r="P210" s="11"/>
      <c r="Q210" s="11"/>
      <c r="R210" s="12"/>
      <c r="S210" s="11"/>
      <c r="T210" s="13"/>
      <c r="U210" s="12"/>
      <c r="V210" s="12"/>
      <c r="W210" s="134"/>
      <c r="X210" s="68"/>
      <c r="Y210" s="150"/>
      <c r="Z210" s="81"/>
    </row>
    <row r="211" spans="1:26" s="60" customFormat="1" x14ac:dyDescent="0.3">
      <c r="A211" s="64" t="s">
        <v>461</v>
      </c>
      <c r="B211" s="74" t="s">
        <v>462</v>
      </c>
      <c r="C211" s="43" t="s">
        <v>463</v>
      </c>
      <c r="D211" s="76">
        <v>46086</v>
      </c>
      <c r="E211" s="43" t="s">
        <v>464</v>
      </c>
      <c r="F211" s="43">
        <v>40151200</v>
      </c>
      <c r="G211" s="43" t="s">
        <v>154</v>
      </c>
      <c r="H211" s="44">
        <v>396</v>
      </c>
      <c r="I211" s="43" t="s">
        <v>13</v>
      </c>
      <c r="J211" s="45">
        <v>900</v>
      </c>
      <c r="K211" s="44">
        <v>339510.23</v>
      </c>
      <c r="L211" s="44">
        <v>62122</v>
      </c>
      <c r="M211" s="43" t="s">
        <v>330</v>
      </c>
      <c r="N211" s="43" t="s">
        <v>331</v>
      </c>
      <c r="O211" s="76">
        <v>46232</v>
      </c>
      <c r="P211" s="43" t="s">
        <v>465</v>
      </c>
      <c r="Q211" s="43"/>
      <c r="R211" s="44">
        <v>150</v>
      </c>
      <c r="S211" s="43" t="s">
        <v>13</v>
      </c>
      <c r="T211" s="45">
        <v>500</v>
      </c>
      <c r="U211" s="44">
        <f>(T211*K211)/J211</f>
        <v>188616.79444444444</v>
      </c>
      <c r="V211" s="44">
        <f>(T211*L211)/J211</f>
        <v>34512.222222222219</v>
      </c>
      <c r="W211" s="79">
        <f>J211-T211</f>
        <v>400</v>
      </c>
      <c r="X211" s="79">
        <v>0</v>
      </c>
      <c r="Y211" s="66">
        <f t="shared" ref="Y211" si="48">L211-V211</f>
        <v>27609.777777777781</v>
      </c>
      <c r="Z211" s="79">
        <v>0</v>
      </c>
    </row>
    <row r="212" spans="1:26" s="60" customFormat="1" x14ac:dyDescent="0.3">
      <c r="A212" s="64"/>
      <c r="B212" s="74" t="s">
        <v>466</v>
      </c>
      <c r="C212" s="43"/>
      <c r="D212" s="76"/>
      <c r="E212" s="43"/>
      <c r="F212" s="43">
        <v>40151200</v>
      </c>
      <c r="G212" s="43" t="s">
        <v>154</v>
      </c>
      <c r="H212" s="44">
        <v>1980</v>
      </c>
      <c r="I212" s="43" t="s">
        <v>13</v>
      </c>
      <c r="J212" s="45">
        <v>4500</v>
      </c>
      <c r="K212" s="44">
        <v>1697551.14</v>
      </c>
      <c r="L212" s="44">
        <v>305561</v>
      </c>
      <c r="M212" s="43" t="s">
        <v>467</v>
      </c>
      <c r="N212" s="43" t="s">
        <v>468</v>
      </c>
      <c r="O212" s="76">
        <v>46231</v>
      </c>
      <c r="P212" s="43" t="s">
        <v>469</v>
      </c>
      <c r="Q212" s="43"/>
      <c r="R212" s="44">
        <v>613</v>
      </c>
      <c r="S212" s="43" t="s">
        <v>13</v>
      </c>
      <c r="T212" s="45">
        <v>1395</v>
      </c>
      <c r="U212" s="44">
        <f>(T212*K212)/J212</f>
        <v>526240.85339999991</v>
      </c>
      <c r="V212" s="44">
        <f>(T212*L212)/J212</f>
        <v>94723.91</v>
      </c>
      <c r="W212" s="133">
        <f>J212-T212-T213-T214-T215</f>
        <v>2325</v>
      </c>
      <c r="X212" s="71">
        <f>K212-U212-U213-U214-U215</f>
        <v>877068.08900000004</v>
      </c>
      <c r="Y212" s="71">
        <f>L212-V212-V213-V214-V215</f>
        <v>157873.18333333332</v>
      </c>
      <c r="Z212" s="119">
        <f>H212-R212-R213-R214-R215</f>
        <v>1203.8</v>
      </c>
    </row>
    <row r="213" spans="1:26" s="60" customFormat="1" x14ac:dyDescent="0.3">
      <c r="A213" s="64"/>
      <c r="B213" s="74"/>
      <c r="C213" s="43"/>
      <c r="D213" s="76"/>
      <c r="E213" s="43"/>
      <c r="F213" s="43"/>
      <c r="G213" s="43"/>
      <c r="H213" s="44"/>
      <c r="I213" s="43"/>
      <c r="J213" s="45"/>
      <c r="K213" s="44"/>
      <c r="L213" s="44"/>
      <c r="M213" s="43" t="s">
        <v>330</v>
      </c>
      <c r="N213" s="43" t="s">
        <v>331</v>
      </c>
      <c r="O213" s="76">
        <v>46232</v>
      </c>
      <c r="P213" s="43" t="s">
        <v>465</v>
      </c>
      <c r="Q213" s="43"/>
      <c r="R213" s="44">
        <v>150</v>
      </c>
      <c r="S213" s="43" t="s">
        <v>13</v>
      </c>
      <c r="T213" s="45">
        <v>750</v>
      </c>
      <c r="U213" s="44">
        <f>(T213*K212)/J212</f>
        <v>282925.19</v>
      </c>
      <c r="V213" s="44">
        <f>(T213*L212)/J212</f>
        <v>50926.833333333336</v>
      </c>
      <c r="W213" s="133"/>
      <c r="X213" s="133"/>
      <c r="Y213" s="133"/>
      <c r="Z213" s="133"/>
    </row>
    <row r="214" spans="1:26" s="60" customFormat="1" x14ac:dyDescent="0.3">
      <c r="A214" s="64"/>
      <c r="B214" s="74"/>
      <c r="C214" s="43"/>
      <c r="D214" s="76"/>
      <c r="E214" s="43"/>
      <c r="F214" s="43"/>
      <c r="G214" s="43"/>
      <c r="H214" s="44"/>
      <c r="I214" s="43"/>
      <c r="J214" s="45"/>
      <c r="K214" s="44"/>
      <c r="L214" s="44"/>
      <c r="M214" s="43" t="s">
        <v>470</v>
      </c>
      <c r="N214" s="43" t="s">
        <v>471</v>
      </c>
      <c r="O214" s="76">
        <v>46237</v>
      </c>
      <c r="P214" s="43" t="s">
        <v>472</v>
      </c>
      <c r="Q214" s="43"/>
      <c r="R214" s="44">
        <v>8.8000000000000007</v>
      </c>
      <c r="S214" s="43" t="s">
        <v>13</v>
      </c>
      <c r="T214" s="45">
        <v>20</v>
      </c>
      <c r="U214" s="44">
        <f>(T214*K212)/J212</f>
        <v>7544.6717333333327</v>
      </c>
      <c r="V214" s="44">
        <f>(T214*L212)/J212</f>
        <v>1358.048888888889</v>
      </c>
      <c r="W214" s="133"/>
      <c r="X214" s="133"/>
      <c r="Y214" s="133"/>
      <c r="Z214" s="133"/>
    </row>
    <row r="215" spans="1:26" s="60" customFormat="1" x14ac:dyDescent="0.3">
      <c r="A215" s="64"/>
      <c r="B215" s="74"/>
      <c r="C215" s="43"/>
      <c r="D215" s="76"/>
      <c r="E215" s="43"/>
      <c r="F215" s="43"/>
      <c r="G215" s="43"/>
      <c r="H215" s="44"/>
      <c r="I215" s="43"/>
      <c r="J215" s="45"/>
      <c r="K215" s="44"/>
      <c r="L215" s="44"/>
      <c r="M215" s="43" t="s">
        <v>470</v>
      </c>
      <c r="N215" s="43" t="s">
        <v>471</v>
      </c>
      <c r="O215" s="76">
        <v>46237</v>
      </c>
      <c r="P215" s="43" t="s">
        <v>473</v>
      </c>
      <c r="Q215" s="43"/>
      <c r="R215" s="44">
        <v>4.4000000000000004</v>
      </c>
      <c r="S215" s="43" t="s">
        <v>13</v>
      </c>
      <c r="T215" s="45">
        <v>10</v>
      </c>
      <c r="U215" s="44">
        <f>(T215*K212)/J212</f>
        <v>3772.3358666666663</v>
      </c>
      <c r="V215" s="44">
        <f>(T215*L212)/J212</f>
        <v>679.0244444444445</v>
      </c>
      <c r="W215" s="133"/>
      <c r="X215" s="133"/>
      <c r="Y215" s="133"/>
      <c r="Z215" s="133"/>
    </row>
    <row r="216" spans="1:26" s="60" customFormat="1" x14ac:dyDescent="0.3">
      <c r="A216" s="64"/>
      <c r="B216" s="74" t="s">
        <v>474</v>
      </c>
      <c r="C216" s="43"/>
      <c r="D216" s="76"/>
      <c r="E216" s="43"/>
      <c r="F216" s="43">
        <v>40151200</v>
      </c>
      <c r="G216" s="43" t="s">
        <v>154</v>
      </c>
      <c r="H216" s="44">
        <v>1584</v>
      </c>
      <c r="I216" s="43" t="s">
        <v>13</v>
      </c>
      <c r="J216" s="45">
        <v>3600</v>
      </c>
      <c r="K216" s="44">
        <v>1358040.91</v>
      </c>
      <c r="L216" s="44">
        <v>244448</v>
      </c>
      <c r="M216" s="43" t="s">
        <v>475</v>
      </c>
      <c r="N216" s="43" t="s">
        <v>476</v>
      </c>
      <c r="O216" s="76">
        <v>46217</v>
      </c>
      <c r="P216" s="43" t="s">
        <v>477</v>
      </c>
      <c r="Q216" s="43"/>
      <c r="R216" s="44">
        <f>(T216*H216)/J216</f>
        <v>77.44</v>
      </c>
      <c r="S216" s="43" t="s">
        <v>13</v>
      </c>
      <c r="T216" s="45">
        <v>176</v>
      </c>
      <c r="U216" s="44">
        <f>(T216*K216)/J216</f>
        <v>66393.111155555554</v>
      </c>
      <c r="V216" s="44">
        <f>(T216*L216)/J216</f>
        <v>11950.791111111112</v>
      </c>
      <c r="W216" s="133">
        <f>J216-T216-T217</f>
        <v>2974</v>
      </c>
      <c r="X216" s="71">
        <f>K216-U216-U217</f>
        <v>1121892.6850944443</v>
      </c>
      <c r="Y216" s="71">
        <f>L216-V216-V217</f>
        <v>201941.20888888888</v>
      </c>
      <c r="Z216" s="119">
        <f>H216-R216-R217</f>
        <v>1356.56</v>
      </c>
    </row>
    <row r="217" spans="1:26" s="60" customFormat="1" x14ac:dyDescent="0.3">
      <c r="A217" s="64"/>
      <c r="B217" s="74"/>
      <c r="C217" s="43"/>
      <c r="D217" s="76"/>
      <c r="E217" s="43"/>
      <c r="F217" s="43"/>
      <c r="G217" s="43"/>
      <c r="H217" s="44"/>
      <c r="I217" s="43"/>
      <c r="J217" s="45"/>
      <c r="K217" s="44"/>
      <c r="L217" s="44"/>
      <c r="M217" s="43" t="s">
        <v>330</v>
      </c>
      <c r="N217" s="43" t="s">
        <v>331</v>
      </c>
      <c r="O217" s="76">
        <v>46232</v>
      </c>
      <c r="P217" s="43" t="s">
        <v>465</v>
      </c>
      <c r="Q217" s="43"/>
      <c r="R217" s="44">
        <v>150</v>
      </c>
      <c r="S217" s="43" t="s">
        <v>13</v>
      </c>
      <c r="T217" s="45">
        <v>450</v>
      </c>
      <c r="U217" s="44">
        <f>(T217*K216)/J216</f>
        <v>169755.11374999999</v>
      </c>
      <c r="V217" s="44">
        <f>(T217*L216)/J216</f>
        <v>30556</v>
      </c>
      <c r="W217" s="133"/>
      <c r="X217" s="133"/>
      <c r="Y217" s="133"/>
      <c r="Z217" s="133"/>
    </row>
    <row r="218" spans="1:26" s="60" customFormat="1" x14ac:dyDescent="0.3">
      <c r="A218" s="64"/>
      <c r="B218" s="74" t="s">
        <v>478</v>
      </c>
      <c r="C218" s="43"/>
      <c r="D218" s="76"/>
      <c r="E218" s="43"/>
      <c r="F218" s="43">
        <v>40151200</v>
      </c>
      <c r="G218" s="43" t="s">
        <v>154</v>
      </c>
      <c r="H218" s="44">
        <v>125</v>
      </c>
      <c r="I218" s="43" t="s">
        <v>13</v>
      </c>
      <c r="J218" s="45">
        <v>250</v>
      </c>
      <c r="K218" s="44">
        <v>109447.46</v>
      </c>
      <c r="L218" s="44">
        <v>19701</v>
      </c>
      <c r="M218" s="43"/>
      <c r="N218" s="43"/>
      <c r="O218" s="43"/>
      <c r="P218" s="43"/>
      <c r="Q218" s="43"/>
      <c r="R218" s="44"/>
      <c r="S218" s="43"/>
      <c r="T218" s="45"/>
      <c r="U218" s="44"/>
      <c r="V218" s="44"/>
      <c r="W218" s="79">
        <f t="shared" ref="W218:W219" si="49">J218-T218</f>
        <v>250</v>
      </c>
      <c r="X218" s="66">
        <f t="shared" ref="X218:X219" si="50">K218-U218</f>
        <v>109447.46</v>
      </c>
      <c r="Y218" s="66">
        <f t="shared" ref="Y218:Y219" si="51">L218-V218</f>
        <v>19701</v>
      </c>
      <c r="Z218" s="67">
        <f t="shared" ref="Z218:Z219" si="52">H218-R218</f>
        <v>125</v>
      </c>
    </row>
    <row r="219" spans="1:26" s="60" customFormat="1" x14ac:dyDescent="0.3">
      <c r="A219" s="64"/>
      <c r="B219" s="74" t="s">
        <v>479</v>
      </c>
      <c r="C219" s="43"/>
      <c r="D219" s="76"/>
      <c r="E219" s="43"/>
      <c r="F219" s="43">
        <v>40151200</v>
      </c>
      <c r="G219" s="43" t="s">
        <v>154</v>
      </c>
      <c r="H219" s="44">
        <v>375</v>
      </c>
      <c r="I219" s="43" t="s">
        <v>13</v>
      </c>
      <c r="J219" s="45">
        <v>750</v>
      </c>
      <c r="K219" s="44">
        <v>328342.40999999997</v>
      </c>
      <c r="L219" s="44">
        <v>59102</v>
      </c>
      <c r="M219" s="43" t="s">
        <v>404</v>
      </c>
      <c r="N219" s="43" t="s">
        <v>405</v>
      </c>
      <c r="O219" s="76">
        <v>46246</v>
      </c>
      <c r="P219" s="43" t="s">
        <v>480</v>
      </c>
      <c r="Q219" s="43"/>
      <c r="R219" s="44">
        <v>192</v>
      </c>
      <c r="S219" s="43" t="s">
        <v>13</v>
      </c>
      <c r="T219" s="45">
        <v>347</v>
      </c>
      <c r="U219" s="23">
        <f>(K219*T219)/J219</f>
        <v>151913.08835999999</v>
      </c>
      <c r="V219" s="23">
        <f>(T219*L219)/J219</f>
        <v>27344.525333333335</v>
      </c>
      <c r="W219" s="79">
        <f t="shared" si="49"/>
        <v>403</v>
      </c>
      <c r="X219" s="66">
        <f t="shared" si="50"/>
        <v>176429.32163999998</v>
      </c>
      <c r="Y219" s="66">
        <f t="shared" si="51"/>
        <v>31757.474666666665</v>
      </c>
      <c r="Z219" s="67">
        <f t="shared" si="52"/>
        <v>183</v>
      </c>
    </row>
    <row r="220" spans="1:2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40"/>
      <c r="L220" s="140"/>
      <c r="M220" s="141"/>
      <c r="N220" s="141"/>
      <c r="O220" s="1"/>
      <c r="P220" s="1"/>
      <c r="Q220" s="1"/>
      <c r="R220" s="140"/>
      <c r="S220" s="1"/>
      <c r="T220" s="142"/>
      <c r="U220" s="140"/>
      <c r="V220" s="140"/>
      <c r="W220" s="143"/>
      <c r="X220" s="83"/>
      <c r="Y220" s="150"/>
      <c r="Z220" s="83"/>
    </row>
    <row r="221" spans="1:26" x14ac:dyDescent="0.3">
      <c r="A221" s="1" t="s">
        <v>481</v>
      </c>
      <c r="B221" s="41" t="s">
        <v>482</v>
      </c>
      <c r="C221" s="43" t="s">
        <v>483</v>
      </c>
      <c r="D221" s="16">
        <v>46090</v>
      </c>
      <c r="E221" s="11" t="s">
        <v>484</v>
      </c>
      <c r="F221" s="11">
        <v>30049000</v>
      </c>
      <c r="G221" s="11" t="s">
        <v>12</v>
      </c>
      <c r="H221" s="12">
        <v>230.38</v>
      </c>
      <c r="I221" s="11" t="s">
        <v>13</v>
      </c>
      <c r="J221" s="13">
        <v>1060</v>
      </c>
      <c r="K221" s="12">
        <v>2621096.6800000002</v>
      </c>
      <c r="L221" s="12">
        <v>52672</v>
      </c>
      <c r="M221" s="11" t="s">
        <v>485</v>
      </c>
      <c r="N221" s="22" t="s">
        <v>486</v>
      </c>
      <c r="O221" s="125">
        <v>46181</v>
      </c>
      <c r="P221" s="22" t="s">
        <v>487</v>
      </c>
      <c r="Q221" s="22"/>
      <c r="R221" s="23">
        <v>130</v>
      </c>
      <c r="S221" s="22" t="s">
        <v>13</v>
      </c>
      <c r="T221" s="24">
        <v>600</v>
      </c>
      <c r="U221" s="23">
        <f>(K221*T221)/J221</f>
        <v>1483639.6301886793</v>
      </c>
      <c r="V221" s="23">
        <f>(T221*L221)/J221</f>
        <v>29814.33962264151</v>
      </c>
      <c r="W221" s="79">
        <f>J221-T221</f>
        <v>460</v>
      </c>
      <c r="X221" s="66">
        <f>K221-U221</f>
        <v>1137457.0498113208</v>
      </c>
      <c r="Y221" s="66">
        <f t="shared" si="37"/>
        <v>22857.66037735849</v>
      </c>
      <c r="Z221" s="67">
        <f>H221-R221</f>
        <v>100.38</v>
      </c>
    </row>
    <row r="222" spans="1:26" x14ac:dyDescent="0.3">
      <c r="A222" s="1" t="s">
        <v>481</v>
      </c>
      <c r="B222" s="14" t="s">
        <v>488</v>
      </c>
      <c r="C222" s="43" t="s">
        <v>489</v>
      </c>
      <c r="D222" s="16">
        <v>46090</v>
      </c>
      <c r="E222" s="11" t="s">
        <v>490</v>
      </c>
      <c r="F222" s="11">
        <v>30049000</v>
      </c>
      <c r="G222" s="11" t="s">
        <v>12</v>
      </c>
      <c r="H222" s="12">
        <v>231.06</v>
      </c>
      <c r="I222" s="11" t="s">
        <v>13</v>
      </c>
      <c r="J222" s="13">
        <v>1061</v>
      </c>
      <c r="K222" s="12">
        <v>2623569.37</v>
      </c>
      <c r="L222" s="12">
        <v>52722</v>
      </c>
      <c r="M222" s="11" t="s">
        <v>491</v>
      </c>
      <c r="N222" s="22" t="s">
        <v>492</v>
      </c>
      <c r="O222" s="126">
        <v>46153</v>
      </c>
      <c r="P222" s="11" t="s">
        <v>493</v>
      </c>
      <c r="Q222" s="11"/>
      <c r="R222" s="12">
        <v>175</v>
      </c>
      <c r="S222" s="11" t="s">
        <v>13</v>
      </c>
      <c r="T222" s="13">
        <v>700</v>
      </c>
      <c r="U222" s="12">
        <f>SUM(T222*K222)/J222</f>
        <v>1730912.8737040528</v>
      </c>
      <c r="V222" s="23">
        <f t="shared" ref="V222:V223" si="53">(T222*L222)/J222</f>
        <v>34783.600377002826</v>
      </c>
      <c r="W222" s="79">
        <f>SUM(J222-T222)</f>
        <v>361</v>
      </c>
      <c r="X222" s="66">
        <f>SUM(K222-U222)</f>
        <v>892656.49629594735</v>
      </c>
      <c r="Y222" s="66">
        <f t="shared" si="37"/>
        <v>17938.399622997174</v>
      </c>
      <c r="Z222" s="67">
        <f>SUM(H222-R222)</f>
        <v>56.06</v>
      </c>
    </row>
    <row r="223" spans="1:26" x14ac:dyDescent="0.3">
      <c r="A223" s="1" t="s">
        <v>481</v>
      </c>
      <c r="B223" s="14" t="s">
        <v>494</v>
      </c>
      <c r="C223" s="43" t="s">
        <v>495</v>
      </c>
      <c r="D223" s="16">
        <v>46090</v>
      </c>
      <c r="E223" s="11" t="s">
        <v>496</v>
      </c>
      <c r="F223" s="11">
        <v>30049000</v>
      </c>
      <c r="G223" s="11" t="s">
        <v>12</v>
      </c>
      <c r="H223" s="121">
        <v>231.78</v>
      </c>
      <c r="I223" s="11" t="s">
        <v>13</v>
      </c>
      <c r="J223" s="123">
        <v>1064</v>
      </c>
      <c r="K223" s="124">
        <v>2630987.4700000002</v>
      </c>
      <c r="L223" s="124">
        <v>52870</v>
      </c>
      <c r="M223" s="11" t="s">
        <v>497</v>
      </c>
      <c r="N223" s="11" t="s">
        <v>498</v>
      </c>
      <c r="O223" s="126">
        <v>46128</v>
      </c>
      <c r="P223" s="11" t="s">
        <v>499</v>
      </c>
      <c r="Q223" s="11"/>
      <c r="R223" s="121">
        <f>(H223*T223)/J223</f>
        <v>217.83834586466165</v>
      </c>
      <c r="S223" s="11" t="s">
        <v>13</v>
      </c>
      <c r="T223" s="122">
        <v>1000</v>
      </c>
      <c r="U223" s="121">
        <f>SUM(T223*K223)/J223</f>
        <v>2472732.5845864662</v>
      </c>
      <c r="V223" s="23">
        <f t="shared" si="53"/>
        <v>49689.849624060153</v>
      </c>
      <c r="W223" s="79">
        <f>J223-T223-T224</f>
        <v>14</v>
      </c>
      <c r="X223" s="66">
        <f>K223-U223-U224</f>
        <v>34618.249564477388</v>
      </c>
      <c r="Y223" s="66">
        <f>L223-V223-V224</f>
        <v>695.65789473683981</v>
      </c>
      <c r="Z223" s="67">
        <f>H223-R223-R224</f>
        <v>3.0497368421052702</v>
      </c>
    </row>
    <row r="224" spans="1:26" x14ac:dyDescent="0.3">
      <c r="A224" s="1"/>
      <c r="B224" s="14"/>
      <c r="C224" s="43"/>
      <c r="D224" s="16"/>
      <c r="E224" s="11"/>
      <c r="F224" s="11"/>
      <c r="G224" s="11"/>
      <c r="H224" s="121"/>
      <c r="I224" s="11"/>
      <c r="J224" s="123"/>
      <c r="K224" s="124"/>
      <c r="L224" s="124"/>
      <c r="M224" s="11" t="s">
        <v>500</v>
      </c>
      <c r="N224" s="11" t="s">
        <v>501</v>
      </c>
      <c r="O224" s="126">
        <v>46128</v>
      </c>
      <c r="P224" s="11" t="s">
        <v>502</v>
      </c>
      <c r="Q224" s="11"/>
      <c r="R224" s="121">
        <f>(H223*T224)/J223</f>
        <v>10.891917293233083</v>
      </c>
      <c r="S224" s="11" t="s">
        <v>13</v>
      </c>
      <c r="T224" s="122">
        <v>50</v>
      </c>
      <c r="U224" s="121">
        <f>SUM(T224*K221)/J221</f>
        <v>123636.63584905662</v>
      </c>
      <c r="V224" s="23">
        <f>(T224*L223)/J223</f>
        <v>2484.4924812030076</v>
      </c>
      <c r="W224" s="79"/>
      <c r="X224" s="66"/>
      <c r="Y224" s="66"/>
      <c r="Z224" s="67"/>
    </row>
    <row r="225" spans="1:26" x14ac:dyDescent="0.3">
      <c r="A225" s="1"/>
      <c r="B225" s="10"/>
      <c r="C225" s="11"/>
      <c r="D225" s="11"/>
      <c r="E225" s="11"/>
      <c r="F225" s="11"/>
      <c r="G225" s="11"/>
      <c r="H225" s="12"/>
      <c r="I225" s="11"/>
      <c r="J225" s="13"/>
      <c r="K225" s="12"/>
      <c r="L225" s="12"/>
      <c r="M225" s="11"/>
      <c r="N225" s="11"/>
      <c r="O225" s="11"/>
      <c r="P225" s="11"/>
      <c r="Q225" s="11"/>
      <c r="R225" s="12"/>
      <c r="S225" s="11"/>
      <c r="T225" s="13"/>
      <c r="U225" s="12"/>
      <c r="V225" s="12"/>
      <c r="W225" s="134"/>
      <c r="X225" s="68"/>
      <c r="Y225" s="150"/>
      <c r="Z225" s="81"/>
    </row>
    <row r="226" spans="1:26" s="176" customFormat="1" x14ac:dyDescent="0.3">
      <c r="A226" s="64" t="s">
        <v>503</v>
      </c>
      <c r="B226" s="1" t="s">
        <v>504</v>
      </c>
      <c r="C226" s="141" t="s">
        <v>505</v>
      </c>
      <c r="D226" s="76">
        <v>46094</v>
      </c>
      <c r="E226" s="175" t="s">
        <v>506</v>
      </c>
      <c r="F226" s="43">
        <v>30043200</v>
      </c>
      <c r="G226" s="43" t="s">
        <v>90</v>
      </c>
      <c r="H226" s="44">
        <v>28</v>
      </c>
      <c r="I226" s="43" t="s">
        <v>13</v>
      </c>
      <c r="J226" s="45">
        <v>1786</v>
      </c>
      <c r="K226" s="44">
        <v>92580.26</v>
      </c>
      <c r="L226" s="44">
        <v>2102</v>
      </c>
      <c r="M226" s="43" t="s">
        <v>204</v>
      </c>
      <c r="N226" s="43" t="s">
        <v>205</v>
      </c>
      <c r="O226" s="76">
        <v>46216</v>
      </c>
      <c r="P226" s="43" t="s">
        <v>507</v>
      </c>
      <c r="Q226" s="43"/>
      <c r="R226" s="44">
        <f>(T226*H226)/J226</f>
        <v>1.3012318029115342</v>
      </c>
      <c r="S226" s="43" t="s">
        <v>13</v>
      </c>
      <c r="T226" s="45">
        <v>83</v>
      </c>
      <c r="U226" s="40">
        <f>(K226*T226)/J226</f>
        <v>4302.4420940649488</v>
      </c>
      <c r="V226" s="40">
        <f>(T226*L226)/J226</f>
        <v>97.685330347144458</v>
      </c>
      <c r="W226" s="133">
        <f>J226-T226</f>
        <v>1703</v>
      </c>
      <c r="X226" s="71">
        <f>K226-U226</f>
        <v>88277.817905935051</v>
      </c>
      <c r="Y226" s="71">
        <f t="shared" ref="Y226" si="54">L226-V226</f>
        <v>2004.3146696528556</v>
      </c>
      <c r="Z226" s="119">
        <f>H226-R226</f>
        <v>26.698768197088466</v>
      </c>
    </row>
    <row r="227" spans="1:26" x14ac:dyDescent="0.3">
      <c r="A227" s="64"/>
      <c r="B227" s="10" t="s">
        <v>508</v>
      </c>
      <c r="C227" s="15"/>
      <c r="D227" s="70"/>
      <c r="E227" s="46"/>
      <c r="F227" s="11">
        <v>30049000</v>
      </c>
      <c r="G227" s="11" t="s">
        <v>90</v>
      </c>
      <c r="H227" s="12">
        <v>30</v>
      </c>
      <c r="I227" s="11" t="s">
        <v>13</v>
      </c>
      <c r="J227" s="13">
        <v>1667</v>
      </c>
      <c r="K227" s="12">
        <v>69129.36</v>
      </c>
      <c r="L227" s="12">
        <v>1383</v>
      </c>
      <c r="M227" s="11"/>
      <c r="N227" s="11"/>
      <c r="O227" s="11"/>
      <c r="P227" s="11"/>
      <c r="Q227" s="11"/>
      <c r="R227" s="12"/>
      <c r="S227" s="11"/>
      <c r="T227" s="13"/>
      <c r="U227" s="12"/>
      <c r="V227" s="12"/>
      <c r="W227" s="79">
        <v>1667</v>
      </c>
      <c r="X227" s="66">
        <v>69129.36</v>
      </c>
      <c r="Y227" s="66">
        <f t="shared" ref="Y227:Y297" si="55">L227-V227</f>
        <v>1383</v>
      </c>
      <c r="Z227" s="67">
        <v>30</v>
      </c>
    </row>
    <row r="228" spans="1:26" x14ac:dyDescent="0.3">
      <c r="A228" s="64"/>
      <c r="B228" s="14" t="s">
        <v>509</v>
      </c>
      <c r="C228" s="15"/>
      <c r="D228" s="70"/>
      <c r="E228" s="46"/>
      <c r="F228" s="11">
        <v>30041000</v>
      </c>
      <c r="G228" s="11" t="s">
        <v>90</v>
      </c>
      <c r="H228" s="12">
        <v>64</v>
      </c>
      <c r="I228" s="11" t="s">
        <v>13</v>
      </c>
      <c r="J228" s="13">
        <v>1786</v>
      </c>
      <c r="K228" s="12">
        <v>293170.84000000003</v>
      </c>
      <c r="L228" s="12">
        <v>5864</v>
      </c>
      <c r="M228" s="11"/>
      <c r="N228" s="11"/>
      <c r="O228" s="11"/>
      <c r="P228" s="11"/>
      <c r="Q228" s="11"/>
      <c r="R228" s="12"/>
      <c r="S228" s="11"/>
      <c r="T228" s="13"/>
      <c r="U228" s="12"/>
      <c r="V228" s="12"/>
      <c r="W228" s="79">
        <v>1786</v>
      </c>
      <c r="X228" s="66">
        <v>293170.84000000003</v>
      </c>
      <c r="Y228" s="66">
        <f t="shared" si="55"/>
        <v>5864</v>
      </c>
      <c r="Z228" s="67">
        <v>64</v>
      </c>
    </row>
    <row r="229" spans="1:26" x14ac:dyDescent="0.3">
      <c r="A229" s="1"/>
      <c r="B229" s="10"/>
      <c r="C229" s="11"/>
      <c r="D229" s="11"/>
      <c r="E229" s="11"/>
      <c r="F229" s="11"/>
      <c r="G229" s="11"/>
      <c r="H229" s="12"/>
      <c r="I229" s="11"/>
      <c r="J229" s="13"/>
      <c r="K229" s="12"/>
      <c r="L229" s="12"/>
      <c r="M229" s="11"/>
      <c r="N229" s="11"/>
      <c r="O229" s="11"/>
      <c r="P229" s="11"/>
      <c r="Q229" s="11"/>
      <c r="R229" s="12"/>
      <c r="S229" s="11"/>
      <c r="T229" s="13"/>
      <c r="U229" s="12"/>
      <c r="V229" s="12"/>
      <c r="W229" s="134"/>
      <c r="X229" s="68"/>
      <c r="Y229" s="150"/>
      <c r="Z229" s="81"/>
    </row>
    <row r="230" spans="1:26" s="60" customFormat="1" x14ac:dyDescent="0.3">
      <c r="A230" s="74" t="s">
        <v>510</v>
      </c>
      <c r="B230" s="74" t="s">
        <v>511</v>
      </c>
      <c r="C230" s="43" t="s">
        <v>512</v>
      </c>
      <c r="D230" s="76">
        <v>46094</v>
      </c>
      <c r="E230" s="43" t="s">
        <v>513</v>
      </c>
      <c r="F230" s="43">
        <v>40151200</v>
      </c>
      <c r="G230" s="43" t="s">
        <v>12</v>
      </c>
      <c r="H230" s="44">
        <v>4426.92</v>
      </c>
      <c r="I230" s="43" t="s">
        <v>13</v>
      </c>
      <c r="J230" s="45">
        <v>2744</v>
      </c>
      <c r="K230" s="44">
        <v>2344911.69</v>
      </c>
      <c r="L230" s="44">
        <v>423588</v>
      </c>
      <c r="M230" s="43" t="s">
        <v>201</v>
      </c>
      <c r="N230" s="43" t="s">
        <v>202</v>
      </c>
      <c r="O230" s="76">
        <v>46220</v>
      </c>
      <c r="P230" s="43" t="s">
        <v>203</v>
      </c>
      <c r="Q230" s="43"/>
      <c r="R230" s="44">
        <f>(H230*T230)/J230</f>
        <v>129.06472303206996</v>
      </c>
      <c r="S230" s="43" t="s">
        <v>13</v>
      </c>
      <c r="T230" s="45">
        <v>80</v>
      </c>
      <c r="U230" s="40">
        <f>(K230*T230)/J230</f>
        <v>68364.772303206992</v>
      </c>
      <c r="V230" s="40">
        <f>(T230*L230)/J230</f>
        <v>12349.504373177842</v>
      </c>
      <c r="W230" s="133">
        <f>J230-T230-T231-T232-T233-T234</f>
        <v>2148</v>
      </c>
      <c r="X230" s="71">
        <f>K230-U230-U231-U232-U233-U234</f>
        <v>1835594.136341108</v>
      </c>
      <c r="Y230" s="71">
        <f>L230-V230-V231-V232-V233</f>
        <v>337141.46938775515</v>
      </c>
      <c r="Z230" s="119">
        <f>H230-R230-R231-R232-R233-R234</f>
        <v>3473.85527696793</v>
      </c>
    </row>
    <row r="231" spans="1:26" s="60" customFormat="1" x14ac:dyDescent="0.3">
      <c r="A231" s="74"/>
      <c r="B231" s="74"/>
      <c r="C231" s="43"/>
      <c r="D231" s="76"/>
      <c r="E231" s="43"/>
      <c r="F231" s="43"/>
      <c r="G231" s="43"/>
      <c r="H231" s="44"/>
      <c r="I231" s="43"/>
      <c r="J231" s="45"/>
      <c r="K231" s="44"/>
      <c r="L231" s="44"/>
      <c r="M231" s="43" t="s">
        <v>330</v>
      </c>
      <c r="N231" s="43" t="s">
        <v>331</v>
      </c>
      <c r="O231" s="76">
        <v>46232</v>
      </c>
      <c r="P231" s="43" t="s">
        <v>514</v>
      </c>
      <c r="Q231" s="43"/>
      <c r="R231" s="44">
        <v>232</v>
      </c>
      <c r="S231" s="43" t="s">
        <v>13</v>
      </c>
      <c r="T231" s="45">
        <v>160</v>
      </c>
      <c r="U231" s="40">
        <f>(K230*T231)/J230</f>
        <v>136729.54460641398</v>
      </c>
      <c r="V231" s="40">
        <f>(T231*L230)/J230</f>
        <v>24699.008746355685</v>
      </c>
      <c r="W231" s="133"/>
      <c r="X231" s="71"/>
      <c r="Y231" s="71"/>
      <c r="Z231" s="119"/>
    </row>
    <row r="232" spans="1:26" s="60" customFormat="1" x14ac:dyDescent="0.3">
      <c r="A232" s="74"/>
      <c r="B232" s="74"/>
      <c r="C232" s="43"/>
      <c r="D232" s="76"/>
      <c r="E232" s="43"/>
      <c r="F232" s="43"/>
      <c r="G232" s="43"/>
      <c r="H232" s="44"/>
      <c r="I232" s="43"/>
      <c r="J232" s="45"/>
      <c r="K232" s="44"/>
      <c r="L232" s="44"/>
      <c r="M232" s="43" t="s">
        <v>330</v>
      </c>
      <c r="N232" s="43" t="s">
        <v>331</v>
      </c>
      <c r="O232" s="76">
        <v>46232</v>
      </c>
      <c r="P232" s="43" t="s">
        <v>515</v>
      </c>
      <c r="Q232" s="43"/>
      <c r="R232" s="44">
        <v>239</v>
      </c>
      <c r="S232" s="43" t="s">
        <v>13</v>
      </c>
      <c r="T232" s="45">
        <v>160</v>
      </c>
      <c r="U232" s="40">
        <f>(K230*T232)/J230</f>
        <v>136729.54460641398</v>
      </c>
      <c r="V232" s="40">
        <f>(T232*L230)/J230</f>
        <v>24699.008746355685</v>
      </c>
      <c r="W232" s="133"/>
      <c r="X232" s="71"/>
      <c r="Y232" s="71"/>
      <c r="Z232" s="119"/>
    </row>
    <row r="233" spans="1:26" s="60" customFormat="1" x14ac:dyDescent="0.3">
      <c r="A233" s="74"/>
      <c r="B233" s="74"/>
      <c r="C233" s="43"/>
      <c r="D233" s="76"/>
      <c r="E233" s="43"/>
      <c r="F233" s="43"/>
      <c r="G233" s="43"/>
      <c r="H233" s="44"/>
      <c r="I233" s="43"/>
      <c r="J233" s="45"/>
      <c r="K233" s="44"/>
      <c r="L233" s="44"/>
      <c r="M233" s="43" t="s">
        <v>330</v>
      </c>
      <c r="N233" s="43" t="s">
        <v>331</v>
      </c>
      <c r="O233" s="76">
        <v>46232</v>
      </c>
      <c r="P233" s="43" t="s">
        <v>515</v>
      </c>
      <c r="Q233" s="43"/>
      <c r="R233" s="44">
        <v>252</v>
      </c>
      <c r="S233" s="43" t="s">
        <v>13</v>
      </c>
      <c r="T233" s="45">
        <v>160</v>
      </c>
      <c r="U233" s="40">
        <f>(K230*T233)/J230</f>
        <v>136729.54460641398</v>
      </c>
      <c r="V233" s="40">
        <f>(T233*L230)/J230</f>
        <v>24699.008746355685</v>
      </c>
      <c r="W233" s="133"/>
      <c r="X233" s="71"/>
      <c r="Y233" s="71"/>
      <c r="Z233" s="119"/>
    </row>
    <row r="234" spans="1:26" s="60" customFormat="1" x14ac:dyDescent="0.3">
      <c r="A234" s="74"/>
      <c r="B234" s="74"/>
      <c r="C234" s="43"/>
      <c r="D234" s="76"/>
      <c r="E234" s="43"/>
      <c r="F234" s="43"/>
      <c r="G234" s="43"/>
      <c r="H234" s="44"/>
      <c r="I234" s="43"/>
      <c r="J234" s="45"/>
      <c r="K234" s="44"/>
      <c r="L234" s="44"/>
      <c r="M234" s="43" t="s">
        <v>404</v>
      </c>
      <c r="N234" s="43" t="s">
        <v>405</v>
      </c>
      <c r="O234" s="76">
        <v>46246</v>
      </c>
      <c r="P234" s="43" t="s">
        <v>516</v>
      </c>
      <c r="Q234" s="43"/>
      <c r="R234" s="44">
        <v>101</v>
      </c>
      <c r="S234" s="43" t="s">
        <v>13</v>
      </c>
      <c r="T234" s="45">
        <v>36</v>
      </c>
      <c r="U234" s="40">
        <f>(K230*T234)/J230</f>
        <v>30764.14753644315</v>
      </c>
      <c r="V234" s="40">
        <f>(T234*L230)/J230</f>
        <v>5557.2769679300291</v>
      </c>
      <c r="W234" s="133"/>
      <c r="X234" s="71"/>
      <c r="Y234" s="71"/>
      <c r="Z234" s="119"/>
    </row>
    <row r="235" spans="1:26" x14ac:dyDescent="0.3">
      <c r="A235" s="74"/>
      <c r="B235" s="74" t="s">
        <v>517</v>
      </c>
      <c r="C235" s="43"/>
      <c r="D235" s="75"/>
      <c r="E235" s="75"/>
      <c r="F235" s="43">
        <v>40151200</v>
      </c>
      <c r="G235" s="43" t="s">
        <v>12</v>
      </c>
      <c r="H235" s="44">
        <v>1632.96</v>
      </c>
      <c r="I235" s="43" t="s">
        <v>13</v>
      </c>
      <c r="J235" s="45">
        <v>576</v>
      </c>
      <c r="K235" s="44">
        <v>1745166.18</v>
      </c>
      <c r="L235" s="44">
        <v>314131</v>
      </c>
      <c r="M235" s="43" t="s">
        <v>404</v>
      </c>
      <c r="N235" s="43" t="s">
        <v>405</v>
      </c>
      <c r="O235" s="76">
        <v>46246</v>
      </c>
      <c r="P235" s="43" t="s">
        <v>516</v>
      </c>
      <c r="Q235" s="43"/>
      <c r="R235" s="44">
        <v>44</v>
      </c>
      <c r="S235" s="43" t="s">
        <v>13</v>
      </c>
      <c r="T235" s="45">
        <v>33</v>
      </c>
      <c r="U235" s="40">
        <f>(K235*T235)/J235</f>
        <v>99983.479062500002</v>
      </c>
      <c r="V235" s="40">
        <f>(T235*L235)/J235</f>
        <v>17997.088541666668</v>
      </c>
      <c r="W235" s="79">
        <f t="shared" ref="W235" si="56">J235-T235</f>
        <v>543</v>
      </c>
      <c r="X235" s="66">
        <f t="shared" ref="X235" si="57">K235-U235</f>
        <v>1645182.7009375</v>
      </c>
      <c r="Y235" s="66">
        <f t="shared" ref="Y235" si="58">L235-V235</f>
        <v>296133.91145833331</v>
      </c>
      <c r="Z235" s="67">
        <f>H235-R235</f>
        <v>1588.96</v>
      </c>
    </row>
    <row r="236" spans="1:26" x14ac:dyDescent="0.3">
      <c r="A236" s="1"/>
      <c r="B236" s="74"/>
      <c r="C236" s="43"/>
      <c r="D236" s="43"/>
      <c r="E236" s="43"/>
      <c r="F236" s="43"/>
      <c r="G236" s="43"/>
      <c r="H236" s="44"/>
      <c r="I236" s="43"/>
      <c r="J236" s="45"/>
      <c r="K236" s="44"/>
      <c r="L236" s="44"/>
      <c r="M236" s="43"/>
      <c r="N236" s="43"/>
      <c r="O236" s="43"/>
      <c r="P236" s="43"/>
      <c r="Q236" s="43"/>
      <c r="R236" s="44"/>
      <c r="S236" s="43"/>
      <c r="T236" s="45"/>
      <c r="U236" s="44"/>
      <c r="V236" s="44"/>
      <c r="W236" s="178"/>
      <c r="X236" s="129"/>
      <c r="Y236" s="179"/>
      <c r="Z236" s="109"/>
    </row>
    <row r="237" spans="1:26" x14ac:dyDescent="0.3">
      <c r="A237" s="64" t="s">
        <v>518</v>
      </c>
      <c r="B237" s="14" t="s">
        <v>519</v>
      </c>
      <c r="C237" s="15" t="s">
        <v>520</v>
      </c>
      <c r="D237" s="16">
        <v>46094</v>
      </c>
      <c r="E237" s="11" t="s">
        <v>521</v>
      </c>
      <c r="F237" s="11">
        <v>21069090</v>
      </c>
      <c r="G237" s="11" t="s">
        <v>12</v>
      </c>
      <c r="H237" s="121">
        <v>480</v>
      </c>
      <c r="I237" s="11" t="s">
        <v>13</v>
      </c>
      <c r="J237" s="122">
        <v>50</v>
      </c>
      <c r="K237" s="121">
        <v>342465.41</v>
      </c>
      <c r="L237" s="121">
        <v>94228</v>
      </c>
      <c r="M237" s="11"/>
      <c r="N237" s="11"/>
      <c r="O237" s="16"/>
      <c r="P237" s="11"/>
      <c r="Q237" s="11"/>
      <c r="R237" s="121"/>
      <c r="S237" s="11"/>
      <c r="T237" s="122"/>
      <c r="U237" s="121"/>
      <c r="V237" s="121"/>
      <c r="W237" s="79">
        <v>50</v>
      </c>
      <c r="X237" s="66">
        <v>342465.41</v>
      </c>
      <c r="Y237" s="66">
        <f t="shared" si="55"/>
        <v>94228</v>
      </c>
      <c r="Z237" s="67">
        <v>480</v>
      </c>
    </row>
    <row r="238" spans="1:26" x14ac:dyDescent="0.3">
      <c r="A238" s="64"/>
      <c r="B238" s="14" t="s">
        <v>522</v>
      </c>
      <c r="C238" s="15"/>
      <c r="D238" s="16"/>
      <c r="E238" s="46"/>
      <c r="F238" s="11">
        <v>21069090</v>
      </c>
      <c r="G238" s="11" t="s">
        <v>12</v>
      </c>
      <c r="H238" s="121">
        <v>480</v>
      </c>
      <c r="I238" s="11" t="s">
        <v>13</v>
      </c>
      <c r="J238" s="122">
        <v>50</v>
      </c>
      <c r="K238" s="121">
        <v>410473.55</v>
      </c>
      <c r="L238" s="121">
        <v>110829</v>
      </c>
      <c r="M238" s="11"/>
      <c r="N238" s="11"/>
      <c r="O238" s="11"/>
      <c r="P238" s="11"/>
      <c r="Q238" s="11"/>
      <c r="R238" s="121"/>
      <c r="S238" s="11"/>
      <c r="T238" s="122"/>
      <c r="U238" s="121"/>
      <c r="V238" s="121"/>
      <c r="W238" s="79">
        <v>50</v>
      </c>
      <c r="X238" s="66">
        <v>410473.55</v>
      </c>
      <c r="Y238" s="66">
        <f t="shared" si="55"/>
        <v>110829</v>
      </c>
      <c r="Z238" s="67">
        <v>480</v>
      </c>
    </row>
    <row r="239" spans="1:26" x14ac:dyDescent="0.3">
      <c r="A239" s="85"/>
      <c r="B239" s="86" t="s">
        <v>523</v>
      </c>
      <c r="C239" s="87"/>
      <c r="D239" s="88"/>
      <c r="E239" s="102"/>
      <c r="F239" s="89">
        <v>21069090</v>
      </c>
      <c r="G239" s="89" t="s">
        <v>12</v>
      </c>
      <c r="H239" s="90">
        <v>5038.84</v>
      </c>
      <c r="I239" s="89" t="s">
        <v>13</v>
      </c>
      <c r="J239" s="91">
        <v>420</v>
      </c>
      <c r="K239" s="90">
        <v>2065633.82</v>
      </c>
      <c r="L239" s="90">
        <v>557722</v>
      </c>
      <c r="M239" s="89" t="s">
        <v>524</v>
      </c>
      <c r="N239" s="89" t="s">
        <v>525</v>
      </c>
      <c r="O239" s="88">
        <v>46127</v>
      </c>
      <c r="P239" s="89" t="s">
        <v>526</v>
      </c>
      <c r="Q239" s="89"/>
      <c r="R239" s="90">
        <v>5038.84</v>
      </c>
      <c r="S239" s="89" t="s">
        <v>13</v>
      </c>
      <c r="T239" s="91">
        <v>420</v>
      </c>
      <c r="U239" s="90">
        <v>2065633.82</v>
      </c>
      <c r="V239" s="90">
        <v>557722</v>
      </c>
      <c r="W239" s="79">
        <v>0</v>
      </c>
      <c r="X239" s="66">
        <v>0</v>
      </c>
      <c r="Y239" s="66">
        <f t="shared" si="55"/>
        <v>0</v>
      </c>
      <c r="Z239" s="67">
        <v>0</v>
      </c>
    </row>
    <row r="240" spans="1:2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40"/>
      <c r="L240" s="140"/>
      <c r="M240" s="141"/>
      <c r="N240" s="141"/>
      <c r="O240" s="1"/>
      <c r="P240" s="1"/>
      <c r="Q240" s="1"/>
      <c r="R240" s="140"/>
      <c r="S240" s="1"/>
      <c r="T240" s="142"/>
      <c r="U240" s="140"/>
      <c r="V240" s="140"/>
      <c r="W240" s="143"/>
      <c r="X240" s="83"/>
      <c r="Y240" s="150"/>
      <c r="Z240" s="83"/>
    </row>
    <row r="241" spans="1:26" x14ac:dyDescent="0.3">
      <c r="A241" s="64" t="s">
        <v>527</v>
      </c>
      <c r="B241" s="14" t="s">
        <v>528</v>
      </c>
      <c r="C241" s="15" t="s">
        <v>529</v>
      </c>
      <c r="D241" s="16">
        <v>46094</v>
      </c>
      <c r="E241" s="11" t="s">
        <v>530</v>
      </c>
      <c r="F241" s="11">
        <v>90183900</v>
      </c>
      <c r="G241" s="11" t="s">
        <v>12</v>
      </c>
      <c r="H241" s="12">
        <v>5000</v>
      </c>
      <c r="I241" s="11" t="s">
        <v>5</v>
      </c>
      <c r="J241" s="13">
        <v>5000</v>
      </c>
      <c r="K241" s="12">
        <v>51938.03</v>
      </c>
      <c r="L241" s="12">
        <v>1167</v>
      </c>
      <c r="M241" s="11"/>
      <c r="N241" s="11"/>
      <c r="O241" s="11"/>
      <c r="P241" s="11"/>
      <c r="Q241" s="11"/>
      <c r="R241" s="12"/>
      <c r="S241" s="11"/>
      <c r="T241" s="13"/>
      <c r="U241" s="12"/>
      <c r="V241" s="12"/>
      <c r="W241" s="79">
        <v>5000</v>
      </c>
      <c r="X241" s="66">
        <v>51938.03</v>
      </c>
      <c r="Y241" s="66">
        <f t="shared" si="55"/>
        <v>1167</v>
      </c>
      <c r="Z241" s="67">
        <v>5000</v>
      </c>
    </row>
    <row r="242" spans="1:26" s="60" customFormat="1" x14ac:dyDescent="0.3">
      <c r="A242" s="166"/>
      <c r="B242" s="1" t="s">
        <v>531</v>
      </c>
      <c r="C242" s="164"/>
      <c r="D242" s="165"/>
      <c r="E242" s="167"/>
      <c r="F242" s="43">
        <v>90183900</v>
      </c>
      <c r="G242" s="43" t="s">
        <v>12</v>
      </c>
      <c r="H242" s="44">
        <v>14000</v>
      </c>
      <c r="I242" s="43" t="s">
        <v>5</v>
      </c>
      <c r="J242" s="45">
        <v>14000</v>
      </c>
      <c r="K242" s="44">
        <v>131772.85</v>
      </c>
      <c r="L242" s="44">
        <v>2636</v>
      </c>
      <c r="M242" s="43" t="s">
        <v>201</v>
      </c>
      <c r="N242" s="43" t="s">
        <v>202</v>
      </c>
      <c r="O242" s="76">
        <v>46220</v>
      </c>
      <c r="P242" s="43" t="s">
        <v>203</v>
      </c>
      <c r="Q242" s="43"/>
      <c r="R242" s="44">
        <v>100</v>
      </c>
      <c r="S242" s="43" t="s">
        <v>5</v>
      </c>
      <c r="T242" s="45">
        <v>2000</v>
      </c>
      <c r="U242" s="44">
        <f>(K242*T242)/J242</f>
        <v>18824.692857142858</v>
      </c>
      <c r="V242" s="44">
        <f>(T242*L242)/J242</f>
        <v>376.57142857142856</v>
      </c>
      <c r="W242" s="133">
        <f t="shared" ref="W242:X245" si="59">J242-T242</f>
        <v>12000</v>
      </c>
      <c r="X242" s="71">
        <f t="shared" si="59"/>
        <v>112948.15714285715</v>
      </c>
      <c r="Y242" s="71">
        <f t="shared" si="55"/>
        <v>2259.4285714285716</v>
      </c>
      <c r="Z242" s="119">
        <f>H242-R242</f>
        <v>13900</v>
      </c>
    </row>
    <row r="243" spans="1:26" s="60" customFormat="1" x14ac:dyDescent="0.3">
      <c r="A243" s="166"/>
      <c r="B243" s="1" t="s">
        <v>532</v>
      </c>
      <c r="C243" s="164"/>
      <c r="D243" s="165"/>
      <c r="E243" s="167"/>
      <c r="F243" s="43">
        <v>90183900</v>
      </c>
      <c r="G243" s="43" t="s">
        <v>12</v>
      </c>
      <c r="H243" s="44">
        <v>14000</v>
      </c>
      <c r="I243" s="43" t="s">
        <v>5</v>
      </c>
      <c r="J243" s="45">
        <v>14000</v>
      </c>
      <c r="K243" s="44">
        <v>131640.4</v>
      </c>
      <c r="L243" s="44">
        <v>2633</v>
      </c>
      <c r="M243" s="43" t="s">
        <v>201</v>
      </c>
      <c r="N243" s="43" t="s">
        <v>202</v>
      </c>
      <c r="O243" s="76">
        <v>46220</v>
      </c>
      <c r="P243" s="43" t="s">
        <v>203</v>
      </c>
      <c r="Q243" s="43"/>
      <c r="R243" s="44">
        <v>100</v>
      </c>
      <c r="S243" s="43" t="s">
        <v>5</v>
      </c>
      <c r="T243" s="45">
        <v>2000</v>
      </c>
      <c r="U243" s="44">
        <f>(K243*T243)/J243</f>
        <v>18805.771428571428</v>
      </c>
      <c r="V243" s="44">
        <f>(T243*L243)/J243</f>
        <v>376.14285714285717</v>
      </c>
      <c r="W243" s="133">
        <f t="shared" si="59"/>
        <v>12000</v>
      </c>
      <c r="X243" s="71">
        <f t="shared" si="59"/>
        <v>112834.62857142856</v>
      </c>
      <c r="Y243" s="71">
        <f t="shared" ref="Y243" si="60">L243-V243</f>
        <v>2256.8571428571427</v>
      </c>
      <c r="Z243" s="119">
        <f>H243-R243</f>
        <v>13900</v>
      </c>
    </row>
    <row r="244" spans="1:26" s="60" customFormat="1" x14ac:dyDescent="0.3">
      <c r="A244" s="166"/>
      <c r="B244" s="1" t="s">
        <v>533</v>
      </c>
      <c r="C244" s="164"/>
      <c r="D244" s="165"/>
      <c r="E244" s="167"/>
      <c r="F244" s="43">
        <v>90183900</v>
      </c>
      <c r="G244" s="43" t="s">
        <v>12</v>
      </c>
      <c r="H244" s="44">
        <v>28000</v>
      </c>
      <c r="I244" s="43" t="s">
        <v>5</v>
      </c>
      <c r="J244" s="45">
        <v>28000</v>
      </c>
      <c r="K244" s="44">
        <v>260896.56</v>
      </c>
      <c r="L244" s="44">
        <v>5218</v>
      </c>
      <c r="M244" s="43" t="s">
        <v>201</v>
      </c>
      <c r="N244" s="43" t="s">
        <v>202</v>
      </c>
      <c r="O244" s="76">
        <v>46220</v>
      </c>
      <c r="P244" s="43" t="s">
        <v>203</v>
      </c>
      <c r="Q244" s="43"/>
      <c r="R244" s="44">
        <v>100</v>
      </c>
      <c r="S244" s="43" t="s">
        <v>5</v>
      </c>
      <c r="T244" s="45">
        <v>2000</v>
      </c>
      <c r="U244" s="44">
        <f>(K244*T244)/J244</f>
        <v>18635.46857142857</v>
      </c>
      <c r="V244" s="44">
        <f>(T244*L244)/J244</f>
        <v>372.71428571428572</v>
      </c>
      <c r="W244" s="133">
        <f t="shared" si="59"/>
        <v>26000</v>
      </c>
      <c r="X244" s="71">
        <f t="shared" si="59"/>
        <v>242261.09142857144</v>
      </c>
      <c r="Y244" s="71">
        <f t="shared" ref="Y244" si="61">L244-V244</f>
        <v>4845.2857142857147</v>
      </c>
      <c r="Z244" s="119">
        <f>H244-R244</f>
        <v>27900</v>
      </c>
    </row>
    <row r="245" spans="1:26" s="60" customFormat="1" x14ac:dyDescent="0.3">
      <c r="A245" s="166"/>
      <c r="B245" s="1" t="s">
        <v>534</v>
      </c>
      <c r="C245" s="164"/>
      <c r="D245" s="165"/>
      <c r="E245" s="167"/>
      <c r="F245" s="43">
        <v>90183900</v>
      </c>
      <c r="G245" s="43" t="s">
        <v>12</v>
      </c>
      <c r="H245" s="44">
        <v>39000</v>
      </c>
      <c r="I245" s="43" t="s">
        <v>5</v>
      </c>
      <c r="J245" s="45">
        <v>39000</v>
      </c>
      <c r="K245" s="44">
        <v>370640.39</v>
      </c>
      <c r="L245" s="44">
        <v>7413</v>
      </c>
      <c r="M245" s="43" t="s">
        <v>201</v>
      </c>
      <c r="N245" s="43" t="s">
        <v>202</v>
      </c>
      <c r="O245" s="76">
        <v>46220</v>
      </c>
      <c r="P245" s="43" t="s">
        <v>203</v>
      </c>
      <c r="Q245" s="43"/>
      <c r="R245" s="44">
        <v>100</v>
      </c>
      <c r="S245" s="43" t="s">
        <v>5</v>
      </c>
      <c r="T245" s="45">
        <v>2000</v>
      </c>
      <c r="U245" s="44">
        <f>(K245*T245)/J245</f>
        <v>19007.199487179489</v>
      </c>
      <c r="V245" s="44">
        <f>(T245*L245)/J245</f>
        <v>380.15384615384613</v>
      </c>
      <c r="W245" s="133">
        <f t="shared" si="59"/>
        <v>37000</v>
      </c>
      <c r="X245" s="71">
        <f t="shared" si="59"/>
        <v>351633.1905128205</v>
      </c>
      <c r="Y245" s="71">
        <f t="shared" ref="Y245" si="62">L245-V245</f>
        <v>7032.8461538461543</v>
      </c>
      <c r="Z245" s="119">
        <f>H245-R245</f>
        <v>38900</v>
      </c>
    </row>
    <row r="246" spans="1:26" x14ac:dyDescent="0.3">
      <c r="A246" s="10"/>
      <c r="B246" s="46"/>
      <c r="C246" s="46"/>
      <c r="D246" s="46"/>
      <c r="E246" s="46"/>
      <c r="F246" s="46"/>
      <c r="G246" s="46"/>
      <c r="H246" s="46"/>
      <c r="I246" s="46"/>
      <c r="J246" s="46"/>
      <c r="K246" s="135"/>
      <c r="L246" s="135"/>
      <c r="M246" s="11"/>
      <c r="N246" s="11"/>
      <c r="O246" s="46"/>
      <c r="P246" s="46"/>
      <c r="Q246" s="46"/>
      <c r="R246" s="135"/>
      <c r="S246" s="46"/>
      <c r="T246" s="136"/>
      <c r="U246" s="135"/>
      <c r="V246" s="135"/>
      <c r="W246" s="137"/>
      <c r="X246" s="81"/>
      <c r="Y246" s="150"/>
      <c r="Z246" s="81"/>
    </row>
    <row r="247" spans="1:26" x14ac:dyDescent="0.3">
      <c r="A247" s="155" t="s">
        <v>535</v>
      </c>
      <c r="B247" s="156" t="s">
        <v>536</v>
      </c>
      <c r="C247" s="157" t="s">
        <v>537</v>
      </c>
      <c r="D247" s="158">
        <v>46105</v>
      </c>
      <c r="E247" s="157" t="s">
        <v>538</v>
      </c>
      <c r="F247" s="157">
        <v>70179000</v>
      </c>
      <c r="G247" s="157" t="s">
        <v>12</v>
      </c>
      <c r="H247" s="159">
        <v>46</v>
      </c>
      <c r="I247" s="157" t="s">
        <v>13</v>
      </c>
      <c r="J247" s="160">
        <v>200</v>
      </c>
      <c r="K247" s="161">
        <v>31625.42</v>
      </c>
      <c r="L247" s="161">
        <v>5944</v>
      </c>
      <c r="M247" s="162" t="s">
        <v>539</v>
      </c>
      <c r="N247" s="157" t="s">
        <v>540</v>
      </c>
      <c r="O247" s="158">
        <v>46202</v>
      </c>
      <c r="P247" s="157" t="s">
        <v>541</v>
      </c>
      <c r="Q247" s="157"/>
      <c r="R247" s="159">
        <v>46</v>
      </c>
      <c r="S247" s="157" t="s">
        <v>13</v>
      </c>
      <c r="T247" s="163">
        <v>200</v>
      </c>
      <c r="U247" s="161">
        <v>31625.42</v>
      </c>
      <c r="V247" s="161">
        <v>5944</v>
      </c>
      <c r="W247" s="79">
        <f t="shared" ref="W247:X249" si="63">J247-T247</f>
        <v>0</v>
      </c>
      <c r="X247" s="66">
        <f t="shared" si="63"/>
        <v>0</v>
      </c>
      <c r="Y247" s="66">
        <f t="shared" ref="Y247" si="64">L247-V247</f>
        <v>0</v>
      </c>
      <c r="Z247" s="67">
        <f>H247-R247</f>
        <v>0</v>
      </c>
    </row>
    <row r="248" spans="1:26" x14ac:dyDescent="0.3">
      <c r="A248" s="155"/>
      <c r="B248" s="156" t="s">
        <v>542</v>
      </c>
      <c r="C248" s="157"/>
      <c r="D248" s="158"/>
      <c r="E248" s="157"/>
      <c r="F248" s="157">
        <v>70179000</v>
      </c>
      <c r="G248" s="157" t="s">
        <v>12</v>
      </c>
      <c r="H248" s="159">
        <v>45</v>
      </c>
      <c r="I248" s="157" t="s">
        <v>13</v>
      </c>
      <c r="J248" s="160">
        <v>40</v>
      </c>
      <c r="K248" s="161">
        <v>18732.95</v>
      </c>
      <c r="L248" s="161">
        <v>3373</v>
      </c>
      <c r="M248" s="162" t="s">
        <v>539</v>
      </c>
      <c r="N248" s="157" t="s">
        <v>540</v>
      </c>
      <c r="O248" s="158">
        <v>46202</v>
      </c>
      <c r="P248" s="157" t="s">
        <v>541</v>
      </c>
      <c r="Q248" s="157"/>
      <c r="R248" s="159">
        <v>45</v>
      </c>
      <c r="S248" s="157" t="s">
        <v>13</v>
      </c>
      <c r="T248" s="163">
        <v>40</v>
      </c>
      <c r="U248" s="161">
        <v>18732.95</v>
      </c>
      <c r="V248" s="161">
        <v>3373</v>
      </c>
      <c r="W248" s="79">
        <f t="shared" si="63"/>
        <v>0</v>
      </c>
      <c r="X248" s="66">
        <f t="shared" si="63"/>
        <v>0</v>
      </c>
      <c r="Y248" s="66">
        <f t="shared" ref="Y248" si="65">L248-V248</f>
        <v>0</v>
      </c>
      <c r="Z248" s="67">
        <f>H248-R248</f>
        <v>0</v>
      </c>
    </row>
    <row r="249" spans="1:26" x14ac:dyDescent="0.3">
      <c r="A249" s="155"/>
      <c r="B249" s="156" t="s">
        <v>543</v>
      </c>
      <c r="C249" s="157"/>
      <c r="D249" s="158"/>
      <c r="E249" s="157"/>
      <c r="F249" s="157">
        <v>70179000</v>
      </c>
      <c r="G249" s="157" t="s">
        <v>12</v>
      </c>
      <c r="H249" s="159">
        <v>45</v>
      </c>
      <c r="I249" s="157" t="s">
        <v>13</v>
      </c>
      <c r="J249" s="163">
        <v>40</v>
      </c>
      <c r="K249" s="159">
        <v>126389.86</v>
      </c>
      <c r="L249" s="159">
        <v>22751</v>
      </c>
      <c r="M249" s="162" t="s">
        <v>539</v>
      </c>
      <c r="N249" s="157" t="s">
        <v>540</v>
      </c>
      <c r="O249" s="158">
        <v>46202</v>
      </c>
      <c r="P249" s="157" t="s">
        <v>541</v>
      </c>
      <c r="Q249" s="157"/>
      <c r="R249" s="159">
        <v>45</v>
      </c>
      <c r="S249" s="157" t="s">
        <v>13</v>
      </c>
      <c r="T249" s="163">
        <v>40</v>
      </c>
      <c r="U249" s="159">
        <v>126389.86</v>
      </c>
      <c r="V249" s="159">
        <v>22751</v>
      </c>
      <c r="W249" s="79">
        <f t="shared" si="63"/>
        <v>0</v>
      </c>
      <c r="X249" s="66">
        <f t="shared" si="63"/>
        <v>0</v>
      </c>
      <c r="Y249" s="66">
        <f t="shared" ref="Y249" si="66">L249-V249</f>
        <v>0</v>
      </c>
      <c r="Z249" s="67">
        <f>H249-R249</f>
        <v>0</v>
      </c>
    </row>
    <row r="250" spans="1:2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40"/>
      <c r="L250" s="140"/>
      <c r="M250" s="141"/>
      <c r="N250" s="141"/>
      <c r="O250" s="1"/>
      <c r="P250" s="1"/>
      <c r="Q250" s="1"/>
      <c r="R250" s="140"/>
      <c r="S250" s="1"/>
      <c r="T250" s="142"/>
      <c r="U250" s="140"/>
      <c r="V250" s="140"/>
      <c r="W250" s="143"/>
      <c r="X250" s="83"/>
      <c r="Y250" s="150"/>
      <c r="Z250" s="83"/>
    </row>
    <row r="251" spans="1:26" ht="28.8" x14ac:dyDescent="0.3">
      <c r="A251" s="64" t="s">
        <v>544</v>
      </c>
      <c r="B251" s="14" t="s">
        <v>545</v>
      </c>
      <c r="C251" s="15" t="s">
        <v>546</v>
      </c>
      <c r="D251" s="16">
        <v>46112</v>
      </c>
      <c r="E251" s="11" t="s">
        <v>477</v>
      </c>
      <c r="F251" s="11">
        <v>30049000</v>
      </c>
      <c r="G251" s="11" t="s">
        <v>148</v>
      </c>
      <c r="H251" s="12">
        <v>121</v>
      </c>
      <c r="I251" s="11" t="s">
        <v>13</v>
      </c>
      <c r="J251" s="13">
        <v>1000</v>
      </c>
      <c r="K251" s="12">
        <v>480091.51</v>
      </c>
      <c r="L251" s="12">
        <v>9852</v>
      </c>
      <c r="M251" s="11" t="s">
        <v>401</v>
      </c>
      <c r="N251" s="11" t="s">
        <v>402</v>
      </c>
      <c r="O251" s="16">
        <v>46216</v>
      </c>
      <c r="P251" s="11" t="s">
        <v>547</v>
      </c>
      <c r="Q251" s="11"/>
      <c r="R251" s="12">
        <v>29.88</v>
      </c>
      <c r="S251" s="11" t="s">
        <v>13</v>
      </c>
      <c r="T251" s="13">
        <v>247</v>
      </c>
      <c r="U251" s="12">
        <f>(K251*T251)/J251</f>
        <v>118582.60296999999</v>
      </c>
      <c r="V251" s="12">
        <f>(L251*U251)/K251</f>
        <v>2433.444</v>
      </c>
      <c r="W251" s="79">
        <f>J251-T251-T252-T253</f>
        <v>160</v>
      </c>
      <c r="X251" s="66">
        <f>K251-U251-U252-U253</f>
        <v>76814.641599999974</v>
      </c>
      <c r="Y251" s="66">
        <f>L251-V251-V252-V253</f>
        <v>1576.3200000000006</v>
      </c>
      <c r="Z251" s="67">
        <f>H251-R251-R252-R253</f>
        <v>18.420000000000002</v>
      </c>
    </row>
    <row r="252" spans="1:26" x14ac:dyDescent="0.3">
      <c r="A252" s="64"/>
      <c r="B252" s="14"/>
      <c r="C252" s="15"/>
      <c r="D252" s="16"/>
      <c r="E252" s="11"/>
      <c r="F252" s="11"/>
      <c r="G252" s="11"/>
      <c r="H252" s="12"/>
      <c r="I252" s="11"/>
      <c r="J252" s="13"/>
      <c r="K252" s="12"/>
      <c r="L252" s="12"/>
      <c r="M252" s="11" t="s">
        <v>204</v>
      </c>
      <c r="N252" s="11" t="s">
        <v>205</v>
      </c>
      <c r="O252" s="16">
        <v>46212</v>
      </c>
      <c r="P252" s="11" t="s">
        <v>548</v>
      </c>
      <c r="Q252" s="11"/>
      <c r="R252" s="12">
        <v>2.7</v>
      </c>
      <c r="S252" s="11" t="s">
        <v>13</v>
      </c>
      <c r="T252" s="13">
        <v>23</v>
      </c>
      <c r="U252" s="12">
        <f>(K251*T252)/J251</f>
        <v>11042.104730000001</v>
      </c>
      <c r="V252" s="12">
        <f>(T252*L251)/J251</f>
        <v>226.596</v>
      </c>
      <c r="W252" s="79"/>
      <c r="X252" s="66"/>
      <c r="Y252" s="66"/>
      <c r="Z252" s="67"/>
    </row>
    <row r="253" spans="1:26" x14ac:dyDescent="0.3">
      <c r="A253" s="64"/>
      <c r="B253" s="14"/>
      <c r="C253" s="15"/>
      <c r="D253" s="16"/>
      <c r="E253" s="11"/>
      <c r="F253" s="11"/>
      <c r="G253" s="11"/>
      <c r="H253" s="12"/>
      <c r="I253" s="11"/>
      <c r="J253" s="13"/>
      <c r="K253" s="12"/>
      <c r="L253" s="12"/>
      <c r="M253" s="11" t="s">
        <v>433</v>
      </c>
      <c r="N253" s="11" t="s">
        <v>434</v>
      </c>
      <c r="O253" s="16">
        <v>46244</v>
      </c>
      <c r="P253" s="11" t="s">
        <v>549</v>
      </c>
      <c r="Q253" s="11"/>
      <c r="R253" s="12">
        <v>70</v>
      </c>
      <c r="S253" s="11" t="s">
        <v>13</v>
      </c>
      <c r="T253" s="13">
        <v>570</v>
      </c>
      <c r="U253" s="12">
        <f>(K251*T253)/J251</f>
        <v>273652.16070000001</v>
      </c>
      <c r="V253" s="12">
        <f>(T253*L251)/J251</f>
        <v>5615.64</v>
      </c>
      <c r="W253" s="79"/>
      <c r="X253" s="66"/>
      <c r="Y253" s="66"/>
      <c r="Z253" s="67"/>
    </row>
    <row r="254" spans="1:26" x14ac:dyDescent="0.3">
      <c r="A254" s="64"/>
      <c r="B254" s="14" t="s">
        <v>550</v>
      </c>
      <c r="C254" s="15"/>
      <c r="D254" s="16"/>
      <c r="E254" s="11"/>
      <c r="F254" s="11">
        <v>30049000</v>
      </c>
      <c r="G254" s="11" t="s">
        <v>148</v>
      </c>
      <c r="H254" s="12">
        <v>96</v>
      </c>
      <c r="I254" s="11" t="s">
        <v>13</v>
      </c>
      <c r="J254" s="13">
        <v>400</v>
      </c>
      <c r="K254" s="12">
        <v>340411.07</v>
      </c>
      <c r="L254" s="12">
        <v>6809</v>
      </c>
      <c r="M254" s="11"/>
      <c r="N254" s="11"/>
      <c r="O254" s="11"/>
      <c r="P254" s="11"/>
      <c r="Q254" s="11"/>
      <c r="R254" s="12"/>
      <c r="S254" s="11"/>
      <c r="T254" s="13"/>
      <c r="U254" s="12"/>
      <c r="V254" s="12"/>
      <c r="W254" s="79">
        <v>400</v>
      </c>
      <c r="X254" s="66">
        <v>340411.07</v>
      </c>
      <c r="Y254" s="66">
        <f t="shared" si="55"/>
        <v>6809</v>
      </c>
      <c r="Z254" s="67">
        <v>96</v>
      </c>
    </row>
    <row r="255" spans="1:26" ht="28.8" x14ac:dyDescent="0.3">
      <c r="A255" s="64"/>
      <c r="B255" s="14" t="s">
        <v>551</v>
      </c>
      <c r="C255" s="15"/>
      <c r="D255" s="16"/>
      <c r="E255" s="11"/>
      <c r="F255" s="11">
        <v>30049000</v>
      </c>
      <c r="G255" s="11" t="s">
        <v>148</v>
      </c>
      <c r="H255" s="12">
        <v>22</v>
      </c>
      <c r="I255" s="11" t="s">
        <v>13</v>
      </c>
      <c r="J255" s="13">
        <v>555</v>
      </c>
      <c r="K255" s="12">
        <v>88258.32</v>
      </c>
      <c r="L255" s="12">
        <v>1766</v>
      </c>
      <c r="M255" s="15"/>
      <c r="N255" s="15"/>
      <c r="O255" s="11"/>
      <c r="P255" s="11"/>
      <c r="Q255" s="11"/>
      <c r="R255" s="12"/>
      <c r="S255" s="11"/>
      <c r="T255" s="13"/>
      <c r="U255" s="12"/>
      <c r="V255" s="12"/>
      <c r="W255" s="79">
        <v>555</v>
      </c>
      <c r="X255" s="66">
        <v>88258.32</v>
      </c>
      <c r="Y255" s="66">
        <f t="shared" si="55"/>
        <v>1766</v>
      </c>
      <c r="Z255" s="67">
        <v>22</v>
      </c>
    </row>
    <row r="256" spans="1:26" x14ac:dyDescent="0.3">
      <c r="A256" s="64"/>
      <c r="B256" s="14" t="s">
        <v>552</v>
      </c>
      <c r="C256" s="15"/>
      <c r="D256" s="16"/>
      <c r="E256" s="11"/>
      <c r="F256" s="11">
        <v>30049000</v>
      </c>
      <c r="G256" s="11" t="s">
        <v>148</v>
      </c>
      <c r="H256" s="12">
        <v>58</v>
      </c>
      <c r="I256" s="11" t="s">
        <v>13</v>
      </c>
      <c r="J256" s="13">
        <v>150</v>
      </c>
      <c r="K256" s="12">
        <v>229994.31</v>
      </c>
      <c r="L256" s="12">
        <v>4600</v>
      </c>
      <c r="M256" s="11" t="s">
        <v>204</v>
      </c>
      <c r="N256" s="11" t="s">
        <v>205</v>
      </c>
      <c r="O256" s="16">
        <v>46212</v>
      </c>
      <c r="P256" s="11" t="s">
        <v>548</v>
      </c>
      <c r="Q256" s="11"/>
      <c r="R256" s="12">
        <v>1</v>
      </c>
      <c r="S256" s="11" t="s">
        <v>13</v>
      </c>
      <c r="T256" s="13">
        <v>3</v>
      </c>
      <c r="U256" s="12">
        <f>(K256*T256)/150</f>
        <v>4599.8861999999999</v>
      </c>
      <c r="V256" s="12">
        <f>(T256*L256)/J256</f>
        <v>92</v>
      </c>
      <c r="W256" s="79">
        <f>J256-T256</f>
        <v>147</v>
      </c>
      <c r="X256" s="66">
        <f>K256-U256</f>
        <v>225394.42379999999</v>
      </c>
      <c r="Y256" s="66">
        <f t="shared" si="55"/>
        <v>4508</v>
      </c>
      <c r="Z256" s="67">
        <f>H256-R256</f>
        <v>57</v>
      </c>
    </row>
    <row r="257" spans="1:26" x14ac:dyDescent="0.3">
      <c r="A257" s="64"/>
      <c r="B257" s="14" t="s">
        <v>553</v>
      </c>
      <c r="C257" s="15"/>
      <c r="D257" s="16"/>
      <c r="E257" s="11"/>
      <c r="F257" s="11">
        <v>30049000</v>
      </c>
      <c r="G257" s="11" t="s">
        <v>148</v>
      </c>
      <c r="H257" s="12">
        <v>18</v>
      </c>
      <c r="I257" s="11" t="s">
        <v>13</v>
      </c>
      <c r="J257" s="13">
        <v>1000</v>
      </c>
      <c r="K257" s="12">
        <v>83970.68</v>
      </c>
      <c r="L257" s="12">
        <v>1680</v>
      </c>
      <c r="M257" s="11"/>
      <c r="N257" s="11"/>
      <c r="O257" s="11"/>
      <c r="P257" s="11"/>
      <c r="Q257" s="11"/>
      <c r="R257" s="12"/>
      <c r="S257" s="11"/>
      <c r="T257" s="13"/>
      <c r="U257" s="12"/>
      <c r="V257" s="12"/>
      <c r="W257" s="79">
        <v>1000</v>
      </c>
      <c r="X257" s="66">
        <v>83970.68</v>
      </c>
      <c r="Y257" s="66">
        <f t="shared" si="55"/>
        <v>1680</v>
      </c>
      <c r="Z257" s="67">
        <v>18</v>
      </c>
    </row>
    <row r="258" spans="1:26" x14ac:dyDescent="0.3">
      <c r="A258" s="64"/>
      <c r="B258" s="14" t="s">
        <v>554</v>
      </c>
      <c r="C258" s="15"/>
      <c r="D258" s="16"/>
      <c r="E258" s="11"/>
      <c r="F258" s="11">
        <v>30049000</v>
      </c>
      <c r="G258" s="11" t="s">
        <v>148</v>
      </c>
      <c r="H258" s="12">
        <v>21</v>
      </c>
      <c r="I258" s="11" t="s">
        <v>13</v>
      </c>
      <c r="J258" s="13">
        <v>100</v>
      </c>
      <c r="K258" s="12">
        <v>83116.58</v>
      </c>
      <c r="L258" s="12">
        <v>1663</v>
      </c>
      <c r="M258" s="11" t="s">
        <v>201</v>
      </c>
      <c r="N258" s="11" t="s">
        <v>202</v>
      </c>
      <c r="O258" s="16">
        <v>46220</v>
      </c>
      <c r="P258" s="11" t="s">
        <v>203</v>
      </c>
      <c r="Q258" s="11"/>
      <c r="R258" s="12">
        <v>6.55</v>
      </c>
      <c r="S258" s="11" t="s">
        <v>13</v>
      </c>
      <c r="T258" s="13">
        <v>30</v>
      </c>
      <c r="U258" s="12">
        <f>(K258*T258)/J258</f>
        <v>24934.973999999998</v>
      </c>
      <c r="V258" s="12">
        <f>(T258*L258)/J258</f>
        <v>498.9</v>
      </c>
      <c r="W258" s="79">
        <f>J258-T258</f>
        <v>70</v>
      </c>
      <c r="X258" s="66">
        <f>K258-U258</f>
        <v>58181.606</v>
      </c>
      <c r="Y258" s="66">
        <f t="shared" si="55"/>
        <v>1164.0999999999999</v>
      </c>
      <c r="Z258" s="67">
        <f>H258-R258</f>
        <v>14.45</v>
      </c>
    </row>
    <row r="259" spans="1:26" x14ac:dyDescent="0.3">
      <c r="A259" s="64"/>
      <c r="B259" s="14" t="s">
        <v>555</v>
      </c>
      <c r="C259" s="15"/>
      <c r="D259" s="16"/>
      <c r="E259" s="11"/>
      <c r="F259" s="11">
        <v>30049000</v>
      </c>
      <c r="G259" s="11" t="s">
        <v>148</v>
      </c>
      <c r="H259" s="12">
        <v>12</v>
      </c>
      <c r="I259" s="11" t="s">
        <v>13</v>
      </c>
      <c r="J259" s="13">
        <v>100</v>
      </c>
      <c r="K259" s="12">
        <v>48904.65</v>
      </c>
      <c r="L259" s="12">
        <v>979</v>
      </c>
      <c r="M259" s="11" t="s">
        <v>556</v>
      </c>
      <c r="N259" s="11" t="s">
        <v>557</v>
      </c>
      <c r="O259" s="16">
        <v>46195</v>
      </c>
      <c r="P259" s="11" t="s">
        <v>558</v>
      </c>
      <c r="Q259" s="11"/>
      <c r="R259" s="12">
        <f>(H259*T259)/J259</f>
        <v>7.2</v>
      </c>
      <c r="S259" s="11" t="s">
        <v>13</v>
      </c>
      <c r="T259" s="13">
        <v>60</v>
      </c>
      <c r="U259" s="12">
        <f>(K259*T259)/100</f>
        <v>29342.79</v>
      </c>
      <c r="V259" s="12">
        <f>(T259*L259)/J259</f>
        <v>587.4</v>
      </c>
      <c r="W259" s="79">
        <f>J259-T259</f>
        <v>40</v>
      </c>
      <c r="X259" s="66">
        <f>K259-U259</f>
        <v>19561.86</v>
      </c>
      <c r="Y259" s="66">
        <f t="shared" si="55"/>
        <v>391.6</v>
      </c>
      <c r="Z259" s="67">
        <f>H259-R259</f>
        <v>4.8</v>
      </c>
    </row>
    <row r="260" spans="1:26" x14ac:dyDescent="0.3">
      <c r="A260" s="64"/>
      <c r="B260" s="14" t="s">
        <v>559</v>
      </c>
      <c r="C260" s="15"/>
      <c r="D260" s="16"/>
      <c r="E260" s="11"/>
      <c r="F260" s="11">
        <v>30049000</v>
      </c>
      <c r="G260" s="11" t="s">
        <v>148</v>
      </c>
      <c r="H260" s="12">
        <v>49</v>
      </c>
      <c r="I260" s="11" t="s">
        <v>13</v>
      </c>
      <c r="J260" s="13">
        <v>100</v>
      </c>
      <c r="K260" s="12">
        <v>195782.39</v>
      </c>
      <c r="L260" s="12">
        <v>3916</v>
      </c>
      <c r="M260" s="11"/>
      <c r="N260" s="11"/>
      <c r="O260" s="11"/>
      <c r="P260" s="11"/>
      <c r="Q260" s="11"/>
      <c r="R260" s="12"/>
      <c r="S260" s="11"/>
      <c r="T260" s="13"/>
      <c r="U260" s="12"/>
      <c r="V260" s="12"/>
      <c r="W260" s="79">
        <v>100</v>
      </c>
      <c r="X260" s="66">
        <v>195782.39</v>
      </c>
      <c r="Y260" s="66">
        <f t="shared" si="55"/>
        <v>3916</v>
      </c>
      <c r="Z260" s="67">
        <v>49</v>
      </c>
    </row>
    <row r="261" spans="1:26" x14ac:dyDescent="0.3">
      <c r="A261" s="1"/>
      <c r="B261" s="10"/>
      <c r="C261" s="11"/>
      <c r="D261" s="11"/>
      <c r="E261" s="11"/>
      <c r="F261" s="11"/>
      <c r="G261" s="11"/>
      <c r="H261" s="12"/>
      <c r="I261" s="11"/>
      <c r="J261" s="13"/>
      <c r="K261" s="12"/>
      <c r="L261" s="12"/>
      <c r="M261" s="11"/>
      <c r="N261" s="11"/>
      <c r="O261" s="11"/>
      <c r="P261" s="11"/>
      <c r="Q261" s="11"/>
      <c r="R261" s="12"/>
      <c r="S261" s="11"/>
      <c r="T261" s="13"/>
      <c r="U261" s="12"/>
      <c r="V261" s="12"/>
      <c r="W261" s="134"/>
      <c r="X261" s="68"/>
      <c r="Y261" s="150"/>
      <c r="Z261" s="81"/>
    </row>
    <row r="262" spans="1:26" x14ac:dyDescent="0.3">
      <c r="A262" s="64" t="s">
        <v>364</v>
      </c>
      <c r="B262" s="73" t="s">
        <v>560</v>
      </c>
      <c r="C262" s="15" t="s">
        <v>561</v>
      </c>
      <c r="D262" s="16">
        <v>46112</v>
      </c>
      <c r="E262" s="11" t="s">
        <v>562</v>
      </c>
      <c r="F262" s="11">
        <v>30049000</v>
      </c>
      <c r="G262" s="11" t="s">
        <v>139</v>
      </c>
      <c r="H262" s="12">
        <v>853.49</v>
      </c>
      <c r="I262" s="11" t="s">
        <v>13</v>
      </c>
      <c r="J262" s="13">
        <v>250</v>
      </c>
      <c r="K262" s="12">
        <v>338269.03</v>
      </c>
      <c r="L262" s="12">
        <v>7016</v>
      </c>
      <c r="M262" s="11" t="s">
        <v>201</v>
      </c>
      <c r="N262" s="11" t="s">
        <v>202</v>
      </c>
      <c r="O262" s="16">
        <v>46220</v>
      </c>
      <c r="P262" s="11" t="s">
        <v>203</v>
      </c>
      <c r="Q262" s="11"/>
      <c r="R262" s="12">
        <v>22.7</v>
      </c>
      <c r="S262" s="11" t="s">
        <v>13</v>
      </c>
      <c r="T262" s="13">
        <v>5</v>
      </c>
      <c r="U262" s="12">
        <f>(K262*T262)/J262</f>
        <v>6765.3806000000004</v>
      </c>
      <c r="V262" s="12">
        <f>(T262*L262)/J262</f>
        <v>140.32</v>
      </c>
      <c r="W262" s="79">
        <f>J262-T262-T263</f>
        <v>222</v>
      </c>
      <c r="X262" s="66">
        <f>K262-U262-U263</f>
        <v>300382.89864000003</v>
      </c>
      <c r="Y262" s="66">
        <f>L262-V262-V263</f>
        <v>6230.2080000000005</v>
      </c>
      <c r="Z262" s="67">
        <f>H262-R262-R263</f>
        <v>824.79</v>
      </c>
    </row>
    <row r="263" spans="1:26" x14ac:dyDescent="0.3">
      <c r="A263" s="64"/>
      <c r="B263" s="73"/>
      <c r="C263" s="15"/>
      <c r="D263" s="16"/>
      <c r="E263" s="11"/>
      <c r="F263" s="11"/>
      <c r="G263" s="11"/>
      <c r="H263" s="12"/>
      <c r="I263" s="11"/>
      <c r="J263" s="13"/>
      <c r="K263" s="12"/>
      <c r="L263" s="12"/>
      <c r="M263" s="11" t="s">
        <v>204</v>
      </c>
      <c r="N263" s="11" t="s">
        <v>205</v>
      </c>
      <c r="O263" s="16">
        <v>46212</v>
      </c>
      <c r="P263" s="11" t="s">
        <v>563</v>
      </c>
      <c r="Q263" s="11"/>
      <c r="R263" s="12">
        <v>6</v>
      </c>
      <c r="S263" s="11" t="s">
        <v>13</v>
      </c>
      <c r="T263" s="13">
        <v>23</v>
      </c>
      <c r="U263" s="12">
        <f>(K262*T263)/250</f>
        <v>31120.750760000003</v>
      </c>
      <c r="V263" s="12">
        <f>(T263*L262)/J262</f>
        <v>645.47199999999998</v>
      </c>
      <c r="W263" s="79"/>
      <c r="X263" s="66"/>
      <c r="Y263" s="66"/>
      <c r="Z263" s="67"/>
    </row>
    <row r="264" spans="1:26" s="60" customFormat="1" x14ac:dyDescent="0.3">
      <c r="A264" s="166"/>
      <c r="B264" s="215" t="s">
        <v>564</v>
      </c>
      <c r="C264" s="164"/>
      <c r="D264" s="165"/>
      <c r="E264" s="59"/>
      <c r="F264" s="59">
        <v>30049000</v>
      </c>
      <c r="G264" s="59" t="s">
        <v>139</v>
      </c>
      <c r="H264" s="61">
        <v>853.49</v>
      </c>
      <c r="I264" s="59" t="s">
        <v>13</v>
      </c>
      <c r="J264" s="62">
        <v>250</v>
      </c>
      <c r="K264" s="61">
        <v>338269.03</v>
      </c>
      <c r="L264" s="61">
        <v>6766</v>
      </c>
      <c r="M264" s="59" t="s">
        <v>565</v>
      </c>
      <c r="N264" s="59" t="s">
        <v>566</v>
      </c>
      <c r="O264" s="165">
        <v>46261</v>
      </c>
      <c r="P264" s="59" t="s">
        <v>567</v>
      </c>
      <c r="Q264" s="59"/>
      <c r="R264" s="61">
        <v>853.49</v>
      </c>
      <c r="S264" s="59" t="s">
        <v>13</v>
      </c>
      <c r="T264" s="62">
        <v>250</v>
      </c>
      <c r="U264" s="61">
        <v>338269.03</v>
      </c>
      <c r="V264" s="61">
        <f>(T264*L264)/J264</f>
        <v>6766</v>
      </c>
      <c r="W264" s="216">
        <f>J264-T264</f>
        <v>0</v>
      </c>
      <c r="X264" s="217">
        <f>K264-U264</f>
        <v>0</v>
      </c>
      <c r="Y264" s="217">
        <f t="shared" ref="Y264" si="67">L264-V264</f>
        <v>0</v>
      </c>
      <c r="Z264" s="84">
        <f>H264-R264</f>
        <v>0</v>
      </c>
    </row>
    <row r="265" spans="1:26" x14ac:dyDescent="0.3">
      <c r="A265" s="64"/>
      <c r="B265" s="73" t="s">
        <v>568</v>
      </c>
      <c r="C265" s="15"/>
      <c r="D265" s="16"/>
      <c r="E265" s="11"/>
      <c r="F265" s="11">
        <v>30049000</v>
      </c>
      <c r="G265" s="11" t="s">
        <v>139</v>
      </c>
      <c r="H265" s="12">
        <v>278.45</v>
      </c>
      <c r="I265" s="11" t="s">
        <v>13</v>
      </c>
      <c r="J265" s="13">
        <v>198</v>
      </c>
      <c r="K265" s="12">
        <v>110318</v>
      </c>
      <c r="L265" s="12">
        <v>2207</v>
      </c>
      <c r="M265" s="11" t="s">
        <v>201</v>
      </c>
      <c r="N265" s="11" t="s">
        <v>202</v>
      </c>
      <c r="O265" s="16">
        <v>46220</v>
      </c>
      <c r="P265" s="11" t="s">
        <v>203</v>
      </c>
      <c r="Q265" s="11"/>
      <c r="R265" s="12">
        <v>20</v>
      </c>
      <c r="S265" s="11" t="s">
        <v>13</v>
      </c>
      <c r="T265" s="13">
        <v>10</v>
      </c>
      <c r="U265" s="12">
        <f>(K265*T265)/J265</f>
        <v>5571.6161616161617</v>
      </c>
      <c r="V265" s="12">
        <f>(T265*L265)/J265</f>
        <v>111.46464646464646</v>
      </c>
      <c r="W265" s="79">
        <f>J265-T265-T266</f>
        <v>178</v>
      </c>
      <c r="X265" s="66">
        <f>K265-U265-U266</f>
        <v>99174.767676767689</v>
      </c>
      <c r="Y265" s="66">
        <f>L265-V265-V266</f>
        <v>1984.0707070707069</v>
      </c>
      <c r="Z265" s="67">
        <f>H265-R265-R266</f>
        <v>244.45</v>
      </c>
    </row>
    <row r="266" spans="1:26" x14ac:dyDescent="0.3">
      <c r="A266" s="64"/>
      <c r="B266" s="73"/>
      <c r="C266" s="15"/>
      <c r="D266" s="16"/>
      <c r="E266" s="11"/>
      <c r="F266" s="11"/>
      <c r="G266" s="11"/>
      <c r="H266" s="12"/>
      <c r="I266" s="11"/>
      <c r="J266" s="13"/>
      <c r="K266" s="12"/>
      <c r="L266" s="12"/>
      <c r="M266" s="11" t="s">
        <v>433</v>
      </c>
      <c r="N266" s="11" t="s">
        <v>434</v>
      </c>
      <c r="O266" s="16">
        <v>46244</v>
      </c>
      <c r="P266" s="11" t="s">
        <v>569</v>
      </c>
      <c r="Q266" s="11"/>
      <c r="R266" s="12">
        <v>14</v>
      </c>
      <c r="S266" s="11" t="s">
        <v>13</v>
      </c>
      <c r="T266" s="13">
        <v>10</v>
      </c>
      <c r="U266" s="12">
        <f>(K265*T266)/J265</f>
        <v>5571.6161616161617</v>
      </c>
      <c r="V266" s="12">
        <f>(T266*L265)/J265</f>
        <v>111.46464646464646</v>
      </c>
      <c r="W266" s="79"/>
      <c r="X266" s="66"/>
      <c r="Y266" s="66"/>
      <c r="Z266" s="67"/>
    </row>
    <row r="267" spans="1:26" x14ac:dyDescent="0.3">
      <c r="A267" s="64"/>
      <c r="B267" s="73" t="s">
        <v>570</v>
      </c>
      <c r="C267" s="15"/>
      <c r="D267" s="16"/>
      <c r="E267" s="11"/>
      <c r="F267" s="11">
        <v>30049000</v>
      </c>
      <c r="G267" s="11" t="s">
        <v>139</v>
      </c>
      <c r="H267" s="12">
        <v>1141</v>
      </c>
      <c r="I267" s="11" t="s">
        <v>13</v>
      </c>
      <c r="J267" s="13">
        <v>200</v>
      </c>
      <c r="K267" s="12">
        <v>452094.1</v>
      </c>
      <c r="L267" s="12">
        <v>9042</v>
      </c>
      <c r="M267" s="11"/>
      <c r="N267" s="11"/>
      <c r="O267" s="11"/>
      <c r="P267" s="11"/>
      <c r="Q267" s="11"/>
      <c r="R267" s="12"/>
      <c r="S267" s="11"/>
      <c r="T267" s="13"/>
      <c r="U267" s="12"/>
      <c r="V267" s="12"/>
      <c r="W267" s="79">
        <v>200</v>
      </c>
      <c r="X267" s="66">
        <v>452094.1</v>
      </c>
      <c r="Y267" s="66">
        <f t="shared" si="55"/>
        <v>9042</v>
      </c>
      <c r="Z267" s="119">
        <v>1141</v>
      </c>
    </row>
    <row r="268" spans="1:26" x14ac:dyDescent="0.3">
      <c r="A268" s="64"/>
      <c r="B268" s="73" t="s">
        <v>571</v>
      </c>
      <c r="C268" s="15"/>
      <c r="D268" s="16"/>
      <c r="E268" s="11"/>
      <c r="F268" s="11">
        <v>30049000</v>
      </c>
      <c r="G268" s="11" t="s">
        <v>139</v>
      </c>
      <c r="H268" s="12">
        <v>658.97</v>
      </c>
      <c r="I268" s="11" t="s">
        <v>13</v>
      </c>
      <c r="J268" s="13">
        <v>100</v>
      </c>
      <c r="K268" s="12">
        <v>261070.28</v>
      </c>
      <c r="L268" s="12">
        <v>5222</v>
      </c>
      <c r="M268" s="11"/>
      <c r="N268" s="11"/>
      <c r="O268" s="11"/>
      <c r="P268" s="11"/>
      <c r="Q268" s="11"/>
      <c r="R268" s="12"/>
      <c r="S268" s="11"/>
      <c r="T268" s="13"/>
      <c r="U268" s="12"/>
      <c r="V268" s="12"/>
      <c r="W268" s="79">
        <v>100</v>
      </c>
      <c r="X268" s="66">
        <v>261070.28</v>
      </c>
      <c r="Y268" s="66">
        <f t="shared" si="55"/>
        <v>5222</v>
      </c>
      <c r="Z268" s="119">
        <v>658.97</v>
      </c>
    </row>
    <row r="269" spans="1:26" x14ac:dyDescent="0.3">
      <c r="A269" s="64"/>
      <c r="B269" s="73" t="s">
        <v>572</v>
      </c>
      <c r="C269" s="15"/>
      <c r="D269" s="16"/>
      <c r="E269" s="11"/>
      <c r="F269" s="11">
        <v>30049000</v>
      </c>
      <c r="G269" s="11" t="s">
        <v>139</v>
      </c>
      <c r="H269" s="12">
        <v>699.79</v>
      </c>
      <c r="I269" s="11" t="s">
        <v>13</v>
      </c>
      <c r="J269" s="13">
        <v>100</v>
      </c>
      <c r="K269" s="12">
        <v>277003.45</v>
      </c>
      <c r="L269" s="12">
        <v>5541</v>
      </c>
      <c r="M269" s="11"/>
      <c r="N269" s="11"/>
      <c r="O269" s="11"/>
      <c r="P269" s="11"/>
      <c r="Q269" s="11"/>
      <c r="R269" s="12"/>
      <c r="S269" s="11"/>
      <c r="T269" s="13"/>
      <c r="U269" s="12"/>
      <c r="V269" s="12"/>
      <c r="W269" s="79">
        <v>100</v>
      </c>
      <c r="X269" s="66">
        <v>277003.45</v>
      </c>
      <c r="Y269" s="66">
        <f t="shared" si="55"/>
        <v>5541</v>
      </c>
      <c r="Z269" s="119">
        <v>699.79</v>
      </c>
    </row>
    <row r="270" spans="1:26" x14ac:dyDescent="0.3">
      <c r="A270" s="1"/>
      <c r="B270" s="10"/>
      <c r="C270" s="11"/>
      <c r="D270" s="11"/>
      <c r="E270" s="11"/>
      <c r="F270" s="11"/>
      <c r="G270" s="11"/>
      <c r="H270" s="12"/>
      <c r="I270" s="11"/>
      <c r="J270" s="13"/>
      <c r="K270" s="12"/>
      <c r="L270" s="12"/>
      <c r="M270" s="11"/>
      <c r="N270" s="11"/>
      <c r="O270" s="11"/>
      <c r="P270" s="11"/>
      <c r="Q270" s="11"/>
      <c r="R270" s="12"/>
      <c r="S270" s="11"/>
      <c r="T270" s="13"/>
      <c r="U270" s="12"/>
      <c r="V270" s="12"/>
      <c r="W270" s="134"/>
      <c r="X270" s="68"/>
      <c r="Y270" s="150"/>
      <c r="Z270" s="109"/>
    </row>
    <row r="271" spans="1:26" x14ac:dyDescent="0.3">
      <c r="A271" s="64" t="s">
        <v>573</v>
      </c>
      <c r="B271" s="73" t="s">
        <v>574</v>
      </c>
      <c r="C271" s="164" t="s">
        <v>575</v>
      </c>
      <c r="D271" s="16">
        <v>46106</v>
      </c>
      <c r="E271" s="11" t="s">
        <v>576</v>
      </c>
      <c r="F271" s="11">
        <v>90183900</v>
      </c>
      <c r="G271" s="11" t="s">
        <v>154</v>
      </c>
      <c r="H271" s="12">
        <v>20000</v>
      </c>
      <c r="I271" s="11" t="s">
        <v>5</v>
      </c>
      <c r="J271" s="13">
        <v>20000</v>
      </c>
      <c r="K271" s="12">
        <v>584211.19999999995</v>
      </c>
      <c r="L271" s="12">
        <v>12023</v>
      </c>
      <c r="M271" s="11" t="s">
        <v>330</v>
      </c>
      <c r="N271" s="11" t="s">
        <v>331</v>
      </c>
      <c r="O271" s="16">
        <v>46232</v>
      </c>
      <c r="P271" s="11" t="s">
        <v>577</v>
      </c>
      <c r="Q271" s="11"/>
      <c r="R271" s="12">
        <v>30</v>
      </c>
      <c r="S271" s="11" t="s">
        <v>5</v>
      </c>
      <c r="T271" s="13">
        <v>30</v>
      </c>
      <c r="U271" s="12">
        <f t="shared" ref="U271" si="68">(K271*T271)/J271</f>
        <v>876.31679999999994</v>
      </c>
      <c r="V271" s="12">
        <f t="shared" ref="V271" si="69">(T271*L271)/J271</f>
        <v>18.034500000000001</v>
      </c>
      <c r="W271" s="79">
        <f>J271-T271-T272-T273</f>
        <v>18560</v>
      </c>
      <c r="X271" s="66">
        <f>K271-U271-U272-U273</f>
        <v>542147.99359999993</v>
      </c>
      <c r="Y271" s="66">
        <f>L271-V271-V272-V273</f>
        <v>11157.344000000001</v>
      </c>
      <c r="Z271" s="67">
        <f>H271-R271-R272-R273</f>
        <v>18560</v>
      </c>
    </row>
    <row r="272" spans="1:26" x14ac:dyDescent="0.3">
      <c r="A272" s="64"/>
      <c r="B272" s="73"/>
      <c r="C272" s="164"/>
      <c r="D272" s="16"/>
      <c r="E272" s="11"/>
      <c r="F272" s="11"/>
      <c r="G272" s="11"/>
      <c r="H272" s="12"/>
      <c r="I272" s="11"/>
      <c r="J272" s="13"/>
      <c r="K272" s="12"/>
      <c r="L272" s="12"/>
      <c r="M272" s="11" t="s">
        <v>330</v>
      </c>
      <c r="N272" s="11" t="s">
        <v>331</v>
      </c>
      <c r="O272" s="16">
        <v>46232</v>
      </c>
      <c r="P272" s="11" t="s">
        <v>577</v>
      </c>
      <c r="Q272" s="11"/>
      <c r="R272" s="12">
        <v>30</v>
      </c>
      <c r="S272" s="11" t="s">
        <v>5</v>
      </c>
      <c r="T272" s="13">
        <v>30</v>
      </c>
      <c r="U272" s="12">
        <f>(K271*T272)/J271</f>
        <v>876.31679999999994</v>
      </c>
      <c r="V272" s="12">
        <f>(T272*L271)/J271</f>
        <v>18.034500000000001</v>
      </c>
      <c r="W272" s="79"/>
      <c r="X272" s="66"/>
      <c r="Y272" s="66"/>
      <c r="Z272" s="119"/>
    </row>
    <row r="273" spans="1:26" x14ac:dyDescent="0.3">
      <c r="A273" s="64"/>
      <c r="B273" s="73"/>
      <c r="C273" s="164"/>
      <c r="D273" s="16"/>
      <c r="E273" s="11"/>
      <c r="F273" s="11"/>
      <c r="G273" s="11"/>
      <c r="H273" s="12"/>
      <c r="I273" s="11"/>
      <c r="J273" s="13"/>
      <c r="K273" s="12"/>
      <c r="L273" s="12"/>
      <c r="M273" s="11" t="s">
        <v>204</v>
      </c>
      <c r="N273" s="11" t="s">
        <v>578</v>
      </c>
      <c r="O273" s="16">
        <v>46220</v>
      </c>
      <c r="P273" s="11" t="s">
        <v>579</v>
      </c>
      <c r="Q273" s="11"/>
      <c r="R273" s="12">
        <v>1380</v>
      </c>
      <c r="S273" s="11" t="s">
        <v>5</v>
      </c>
      <c r="T273" s="13">
        <v>1380</v>
      </c>
      <c r="U273" s="12">
        <f>(K271*T273)/J271</f>
        <v>40310.572799999994</v>
      </c>
      <c r="V273" s="12">
        <f>(T273*L271)/J271</f>
        <v>829.58699999999999</v>
      </c>
      <c r="W273" s="79"/>
      <c r="X273" s="66"/>
      <c r="Y273" s="66"/>
      <c r="Z273" s="119"/>
    </row>
    <row r="274" spans="1:26" x14ac:dyDescent="0.3">
      <c r="A274" s="64"/>
      <c r="B274" s="73" t="s">
        <v>580</v>
      </c>
      <c r="C274" s="15"/>
      <c r="D274" s="11"/>
      <c r="E274" s="11"/>
      <c r="F274" s="11">
        <v>30059090</v>
      </c>
      <c r="G274" s="11" t="s">
        <v>154</v>
      </c>
      <c r="H274" s="12">
        <v>200</v>
      </c>
      <c r="I274" s="11" t="s">
        <v>13</v>
      </c>
      <c r="J274" s="13">
        <v>2000</v>
      </c>
      <c r="K274" s="12">
        <v>177025.74</v>
      </c>
      <c r="L274" s="12">
        <v>3541</v>
      </c>
      <c r="M274" s="11" t="s">
        <v>330</v>
      </c>
      <c r="N274" s="11" t="s">
        <v>331</v>
      </c>
      <c r="O274" s="16">
        <v>46232</v>
      </c>
      <c r="P274" s="11" t="s">
        <v>577</v>
      </c>
      <c r="Q274" s="11"/>
      <c r="R274" s="12">
        <v>10</v>
      </c>
      <c r="S274" s="11" t="s">
        <v>13</v>
      </c>
      <c r="T274" s="13">
        <v>150</v>
      </c>
      <c r="U274" s="12">
        <f t="shared" ref="U274" si="70">(K274*T274)/J274</f>
        <v>13276.9305</v>
      </c>
      <c r="V274" s="12">
        <f t="shared" ref="V274" si="71">(T274*L274)/J274</f>
        <v>265.57499999999999</v>
      </c>
      <c r="W274" s="79">
        <f>J274-T274-T275</f>
        <v>1735</v>
      </c>
      <c r="X274" s="66">
        <f>K274-U274-U275</f>
        <v>153569.82945000002</v>
      </c>
      <c r="Y274" s="66">
        <f>L274-V274-V275</f>
        <v>3071.8175000000001</v>
      </c>
      <c r="Z274" s="67">
        <f>H274-R274-R275</f>
        <v>189.89</v>
      </c>
    </row>
    <row r="275" spans="1:26" x14ac:dyDescent="0.3">
      <c r="A275" s="64"/>
      <c r="B275" s="73"/>
      <c r="C275" s="15"/>
      <c r="D275" s="11"/>
      <c r="E275" s="11"/>
      <c r="F275" s="11"/>
      <c r="G275" s="11"/>
      <c r="H275" s="12"/>
      <c r="I275" s="11"/>
      <c r="J275" s="13"/>
      <c r="K275" s="12"/>
      <c r="L275" s="12"/>
      <c r="M275" s="11" t="s">
        <v>204</v>
      </c>
      <c r="N275" s="11" t="s">
        <v>578</v>
      </c>
      <c r="O275" s="16">
        <v>46220</v>
      </c>
      <c r="P275" s="11" t="s">
        <v>579</v>
      </c>
      <c r="Q275" s="11"/>
      <c r="R275" s="12">
        <v>0.11</v>
      </c>
      <c r="S275" s="11" t="s">
        <v>13</v>
      </c>
      <c r="T275" s="13">
        <v>115</v>
      </c>
      <c r="U275" s="12">
        <f>(K274*T275)/J274</f>
        <v>10178.980049999998</v>
      </c>
      <c r="V275" s="12">
        <f>(T275*L274)/J274</f>
        <v>203.60749999999999</v>
      </c>
      <c r="W275" s="79"/>
      <c r="X275" s="66"/>
      <c r="Y275" s="66"/>
      <c r="Z275" s="67"/>
    </row>
    <row r="276" spans="1:26" x14ac:dyDescent="0.3">
      <c r="A276" s="64"/>
      <c r="B276" s="73" t="s">
        <v>581</v>
      </c>
      <c r="C276" s="15"/>
      <c r="D276" s="11"/>
      <c r="E276" s="11"/>
      <c r="F276" s="11">
        <v>39232100</v>
      </c>
      <c r="G276" s="11" t="s">
        <v>154</v>
      </c>
      <c r="H276" s="12">
        <v>336</v>
      </c>
      <c r="I276" s="11" t="s">
        <v>13</v>
      </c>
      <c r="J276" s="13">
        <v>4800</v>
      </c>
      <c r="K276" s="12">
        <v>403403.34</v>
      </c>
      <c r="L276" s="12">
        <v>189601</v>
      </c>
      <c r="M276" s="11"/>
      <c r="N276" s="11"/>
      <c r="O276" s="11"/>
      <c r="P276" s="11"/>
      <c r="Q276" s="11"/>
      <c r="R276" s="12"/>
      <c r="S276" s="11"/>
      <c r="T276" s="13"/>
      <c r="U276" s="12"/>
      <c r="V276" s="12"/>
      <c r="W276" s="79">
        <f t="shared" ref="W276:W278" si="72">J276-T276</f>
        <v>4800</v>
      </c>
      <c r="X276" s="66">
        <f t="shared" ref="X276:X278" si="73">K276-U276</f>
        <v>403403.34</v>
      </c>
      <c r="Y276" s="66">
        <f t="shared" ref="Y276:Y278" si="74">L276-V276</f>
        <v>189601</v>
      </c>
      <c r="Z276" s="67">
        <f t="shared" ref="Z276:Z278" si="75">H276-R276</f>
        <v>336</v>
      </c>
    </row>
    <row r="277" spans="1:26" x14ac:dyDescent="0.3">
      <c r="A277" s="64"/>
      <c r="B277" s="73" t="s">
        <v>582</v>
      </c>
      <c r="C277" s="15"/>
      <c r="D277" s="11"/>
      <c r="E277" s="11"/>
      <c r="F277" s="11">
        <v>38221900</v>
      </c>
      <c r="G277" s="11" t="s">
        <v>154</v>
      </c>
      <c r="H277" s="12">
        <v>22</v>
      </c>
      <c r="I277" s="11" t="s">
        <v>13</v>
      </c>
      <c r="J277" s="13">
        <v>200</v>
      </c>
      <c r="K277" s="12">
        <v>140499.15</v>
      </c>
      <c r="L277" s="12">
        <v>25290</v>
      </c>
      <c r="M277" s="11" t="s">
        <v>204</v>
      </c>
      <c r="N277" s="11" t="s">
        <v>578</v>
      </c>
      <c r="O277" s="16">
        <v>46220</v>
      </c>
      <c r="P277" s="11" t="s">
        <v>579</v>
      </c>
      <c r="Q277" s="11"/>
      <c r="R277" s="12">
        <v>0.02</v>
      </c>
      <c r="S277" s="11" t="s">
        <v>13</v>
      </c>
      <c r="T277" s="13">
        <v>23</v>
      </c>
      <c r="U277" s="12">
        <f>(K277*T277)/J277</f>
        <v>16157.402249999999</v>
      </c>
      <c r="V277" s="12">
        <f>(T277*L277)/J277</f>
        <v>2908.35</v>
      </c>
      <c r="W277" s="79">
        <f t="shared" si="72"/>
        <v>177</v>
      </c>
      <c r="X277" s="66">
        <f t="shared" si="73"/>
        <v>124341.74774999999</v>
      </c>
      <c r="Y277" s="66">
        <f t="shared" si="74"/>
        <v>22381.65</v>
      </c>
      <c r="Z277" s="67">
        <f t="shared" si="75"/>
        <v>21.98</v>
      </c>
    </row>
    <row r="278" spans="1:26" x14ac:dyDescent="0.3">
      <c r="A278" s="64"/>
      <c r="B278" s="73" t="s">
        <v>583</v>
      </c>
      <c r="C278" s="15"/>
      <c r="D278" s="11"/>
      <c r="E278" s="11"/>
      <c r="F278" s="11">
        <v>38221900</v>
      </c>
      <c r="G278" s="11" t="s">
        <v>154</v>
      </c>
      <c r="H278" s="12">
        <v>12</v>
      </c>
      <c r="I278" s="11" t="s">
        <v>13</v>
      </c>
      <c r="J278" s="13">
        <v>5000</v>
      </c>
      <c r="K278" s="12">
        <v>66312.17</v>
      </c>
      <c r="L278" s="12">
        <v>11937</v>
      </c>
      <c r="M278" s="11" t="s">
        <v>204</v>
      </c>
      <c r="N278" s="11" t="s">
        <v>578</v>
      </c>
      <c r="O278" s="16">
        <v>46220</v>
      </c>
      <c r="P278" s="11" t="s">
        <v>579</v>
      </c>
      <c r="Q278" s="11"/>
      <c r="R278" s="12">
        <v>2.76</v>
      </c>
      <c r="S278" s="11" t="s">
        <v>13</v>
      </c>
      <c r="T278" s="13">
        <v>1150</v>
      </c>
      <c r="U278" s="12">
        <f>(K278*T278)/J278</f>
        <v>15251.7991</v>
      </c>
      <c r="V278" s="12">
        <f>(T278*L278)/J278</f>
        <v>2745.51</v>
      </c>
      <c r="W278" s="79">
        <f t="shared" si="72"/>
        <v>3850</v>
      </c>
      <c r="X278" s="66">
        <f t="shared" si="73"/>
        <v>51060.370899999994</v>
      </c>
      <c r="Y278" s="66">
        <f t="shared" si="74"/>
        <v>9191.49</v>
      </c>
      <c r="Z278" s="67">
        <f t="shared" si="75"/>
        <v>9.24</v>
      </c>
    </row>
    <row r="279" spans="1:26" x14ac:dyDescent="0.3">
      <c r="A279" s="1"/>
      <c r="B279" s="10"/>
      <c r="C279" s="11"/>
      <c r="D279" s="11"/>
      <c r="E279" s="11"/>
      <c r="F279" s="11"/>
      <c r="G279" s="11"/>
      <c r="H279" s="12"/>
      <c r="I279" s="11"/>
      <c r="J279" s="13"/>
      <c r="K279" s="12"/>
      <c r="L279" s="12"/>
      <c r="M279" s="11"/>
      <c r="N279" s="11"/>
      <c r="O279" s="11"/>
      <c r="P279" s="11"/>
      <c r="Q279" s="11"/>
      <c r="R279" s="12"/>
      <c r="S279" s="11"/>
      <c r="T279" s="13"/>
      <c r="U279" s="12"/>
      <c r="V279" s="12"/>
      <c r="W279" s="134"/>
      <c r="X279" s="68"/>
      <c r="Y279" s="150"/>
      <c r="Z279" s="109"/>
    </row>
    <row r="280" spans="1:26" x14ac:dyDescent="0.3">
      <c r="A280" s="65" t="s">
        <v>584</v>
      </c>
      <c r="B280" s="73" t="s">
        <v>585</v>
      </c>
      <c r="C280" s="15" t="s">
        <v>586</v>
      </c>
      <c r="D280" s="16">
        <v>46106</v>
      </c>
      <c r="E280" s="11" t="s">
        <v>587</v>
      </c>
      <c r="F280" s="11">
        <v>30059090</v>
      </c>
      <c r="G280" s="11" t="s">
        <v>154</v>
      </c>
      <c r="H280" s="12">
        <v>400</v>
      </c>
      <c r="I280" s="11" t="s">
        <v>13</v>
      </c>
      <c r="J280" s="144">
        <v>2000</v>
      </c>
      <c r="K280" s="12">
        <v>465751.3</v>
      </c>
      <c r="L280" s="12">
        <v>10383</v>
      </c>
      <c r="M280" s="11"/>
      <c r="N280" s="11"/>
      <c r="O280" s="11"/>
      <c r="P280" s="11"/>
      <c r="Q280" s="11"/>
      <c r="R280" s="12"/>
      <c r="S280" s="11"/>
      <c r="T280" s="13"/>
      <c r="U280" s="12"/>
      <c r="V280" s="12"/>
      <c r="W280" s="79">
        <f t="shared" ref="W280:W281" si="76">J280-T280</f>
        <v>2000</v>
      </c>
      <c r="X280" s="66">
        <f t="shared" ref="X280:X281" si="77">K280-U280</f>
        <v>465751.3</v>
      </c>
      <c r="Y280" s="66">
        <f t="shared" ref="Y280:Y281" si="78">L280-V280</f>
        <v>10383</v>
      </c>
      <c r="Z280" s="67">
        <f t="shared" ref="Z280:Z281" si="79">H280-R280</f>
        <v>400</v>
      </c>
    </row>
    <row r="281" spans="1:26" x14ac:dyDescent="0.3">
      <c r="A281" s="64"/>
      <c r="B281" s="73" t="s">
        <v>588</v>
      </c>
      <c r="C281" s="15"/>
      <c r="D281" s="16"/>
      <c r="E281" s="11"/>
      <c r="F281" s="11">
        <v>30059090</v>
      </c>
      <c r="G281" s="11" t="s">
        <v>154</v>
      </c>
      <c r="H281" s="12">
        <v>840</v>
      </c>
      <c r="I281" s="11" t="s">
        <v>13</v>
      </c>
      <c r="J281" s="144">
        <v>40320</v>
      </c>
      <c r="K281" s="12">
        <v>761408.03</v>
      </c>
      <c r="L281" s="12">
        <v>15229</v>
      </c>
      <c r="M281" s="11" t="s">
        <v>330</v>
      </c>
      <c r="N281" s="11" t="s">
        <v>331</v>
      </c>
      <c r="O281" s="16">
        <v>46232</v>
      </c>
      <c r="P281" s="11" t="s">
        <v>589</v>
      </c>
      <c r="Q281" s="11"/>
      <c r="R281" s="12">
        <v>150</v>
      </c>
      <c r="S281" s="11" t="s">
        <v>13</v>
      </c>
      <c r="T281" s="13">
        <v>100</v>
      </c>
      <c r="U281" s="12">
        <f>(K281*T281)/J281</f>
        <v>1888.4127728174603</v>
      </c>
      <c r="V281" s="12">
        <f>(T281*L281)/J281</f>
        <v>37.770337301587304</v>
      </c>
      <c r="W281" s="79">
        <f t="shared" si="76"/>
        <v>40220</v>
      </c>
      <c r="X281" s="66">
        <f t="shared" si="77"/>
        <v>759519.61722718261</v>
      </c>
      <c r="Y281" s="66">
        <f t="shared" si="78"/>
        <v>15191.229662698413</v>
      </c>
      <c r="Z281" s="67">
        <f t="shared" si="79"/>
        <v>690</v>
      </c>
    </row>
    <row r="282" spans="1:26" x14ac:dyDescent="0.3">
      <c r="A282" s="85"/>
      <c r="B282" s="86" t="s">
        <v>590</v>
      </c>
      <c r="C282" s="87"/>
      <c r="D282" s="88"/>
      <c r="E282" s="89"/>
      <c r="F282" s="89">
        <v>30059090</v>
      </c>
      <c r="G282" s="89" t="s">
        <v>154</v>
      </c>
      <c r="H282" s="90">
        <v>240</v>
      </c>
      <c r="I282" s="89" t="s">
        <v>13</v>
      </c>
      <c r="J282" s="154">
        <v>120</v>
      </c>
      <c r="K282" s="90">
        <v>201215.43</v>
      </c>
      <c r="L282" s="90">
        <v>4025</v>
      </c>
      <c r="M282" s="89" t="s">
        <v>539</v>
      </c>
      <c r="N282" s="89" t="s">
        <v>540</v>
      </c>
      <c r="O282" s="88">
        <v>46202</v>
      </c>
      <c r="P282" s="89" t="s">
        <v>591</v>
      </c>
      <c r="Q282" s="89"/>
      <c r="R282" s="90">
        <v>240</v>
      </c>
      <c r="S282" s="89" t="s">
        <v>13</v>
      </c>
      <c r="T282" s="91">
        <v>120</v>
      </c>
      <c r="U282" s="90">
        <v>201215.43</v>
      </c>
      <c r="V282" s="90">
        <v>4025</v>
      </c>
      <c r="W282" s="79">
        <f>J282-T282</f>
        <v>0</v>
      </c>
      <c r="X282" s="66">
        <f>K282-U282</f>
        <v>0</v>
      </c>
      <c r="Y282" s="66">
        <f t="shared" ref="Y282:Y289" si="80">L282-V282</f>
        <v>0</v>
      </c>
      <c r="Z282" s="67">
        <f>H282-R282</f>
        <v>0</v>
      </c>
    </row>
    <row r="283" spans="1:26" x14ac:dyDescent="0.3">
      <c r="A283" s="64"/>
      <c r="B283" s="10" t="s">
        <v>592</v>
      </c>
      <c r="C283" s="15"/>
      <c r="D283" s="16"/>
      <c r="E283" s="11"/>
      <c r="F283" s="11">
        <v>30059090</v>
      </c>
      <c r="G283" s="11" t="s">
        <v>154</v>
      </c>
      <c r="H283" s="12">
        <v>180</v>
      </c>
      <c r="I283" s="11" t="s">
        <v>13</v>
      </c>
      <c r="J283" s="144">
        <v>1800</v>
      </c>
      <c r="K283" s="12">
        <v>236247.08</v>
      </c>
      <c r="L283" s="12">
        <v>4725</v>
      </c>
      <c r="M283" s="11"/>
      <c r="N283" s="11"/>
      <c r="O283" s="11"/>
      <c r="P283" s="11"/>
      <c r="Q283" s="11"/>
      <c r="R283" s="12"/>
      <c r="S283" s="11"/>
      <c r="T283" s="13"/>
      <c r="U283" s="12"/>
      <c r="V283" s="12"/>
      <c r="W283" s="79">
        <f t="shared" ref="W283:W289" si="81">J283-T283</f>
        <v>1800</v>
      </c>
      <c r="X283" s="66">
        <f t="shared" ref="X283:X289" si="82">K283-U283</f>
        <v>236247.08</v>
      </c>
      <c r="Y283" s="66">
        <f t="shared" si="80"/>
        <v>4725</v>
      </c>
      <c r="Z283" s="67">
        <f t="shared" ref="Z283:Z289" si="83">H283-R283</f>
        <v>180</v>
      </c>
    </row>
    <row r="284" spans="1:26" x14ac:dyDescent="0.3">
      <c r="A284" s="64"/>
      <c r="B284" s="73" t="s">
        <v>593</v>
      </c>
      <c r="C284" s="15"/>
      <c r="D284" s="16"/>
      <c r="E284" s="11"/>
      <c r="F284" s="11">
        <v>30059090</v>
      </c>
      <c r="G284" s="11" t="s">
        <v>154</v>
      </c>
      <c r="H284" s="12">
        <v>128</v>
      </c>
      <c r="I284" s="11" t="s">
        <v>13</v>
      </c>
      <c r="J284" s="144">
        <v>1600</v>
      </c>
      <c r="K284" s="12">
        <v>137561.16</v>
      </c>
      <c r="L284" s="12">
        <v>2752</v>
      </c>
      <c r="M284" s="11" t="s">
        <v>404</v>
      </c>
      <c r="N284" s="11" t="s">
        <v>405</v>
      </c>
      <c r="O284" s="16">
        <v>46246</v>
      </c>
      <c r="P284" s="11" t="s">
        <v>594</v>
      </c>
      <c r="Q284" s="11"/>
      <c r="R284" s="12">
        <v>3</v>
      </c>
      <c r="S284" s="11" t="s">
        <v>13</v>
      </c>
      <c r="T284" s="13">
        <v>442</v>
      </c>
      <c r="U284" s="12">
        <f>(K284*T284)/J284</f>
        <v>38001.270449999996</v>
      </c>
      <c r="V284" s="12">
        <f>(T284*L284)/J284</f>
        <v>760.24</v>
      </c>
      <c r="W284" s="79">
        <f t="shared" si="81"/>
        <v>1158</v>
      </c>
      <c r="X284" s="66">
        <f t="shared" si="82"/>
        <v>99559.889550000007</v>
      </c>
      <c r="Y284" s="66">
        <f t="shared" si="80"/>
        <v>1991.76</v>
      </c>
      <c r="Z284" s="67">
        <f t="shared" si="83"/>
        <v>125</v>
      </c>
    </row>
    <row r="285" spans="1:26" x14ac:dyDescent="0.3">
      <c r="A285" s="64"/>
      <c r="B285" s="73" t="s">
        <v>595</v>
      </c>
      <c r="C285" s="15"/>
      <c r="D285" s="16"/>
      <c r="E285" s="11"/>
      <c r="F285" s="11">
        <v>30059090</v>
      </c>
      <c r="G285" s="11" t="s">
        <v>154</v>
      </c>
      <c r="H285" s="12">
        <v>240</v>
      </c>
      <c r="I285" s="11" t="s">
        <v>13</v>
      </c>
      <c r="J285" s="144">
        <v>960</v>
      </c>
      <c r="K285" s="12">
        <v>145882.99</v>
      </c>
      <c r="L285" s="12">
        <v>2918</v>
      </c>
      <c r="M285" s="11"/>
      <c r="N285" s="11"/>
      <c r="O285" s="11"/>
      <c r="P285" s="11"/>
      <c r="Q285" s="11"/>
      <c r="R285" s="12"/>
      <c r="S285" s="11"/>
      <c r="T285" s="13"/>
      <c r="U285" s="12"/>
      <c r="V285" s="12"/>
      <c r="W285" s="79">
        <f t="shared" si="81"/>
        <v>960</v>
      </c>
      <c r="X285" s="66">
        <f t="shared" si="82"/>
        <v>145882.99</v>
      </c>
      <c r="Y285" s="66">
        <f t="shared" si="80"/>
        <v>2918</v>
      </c>
      <c r="Z285" s="67">
        <f t="shared" si="83"/>
        <v>240</v>
      </c>
    </row>
    <row r="286" spans="1:26" x14ac:dyDescent="0.3">
      <c r="A286" s="64"/>
      <c r="B286" s="73" t="s">
        <v>596</v>
      </c>
      <c r="C286" s="15"/>
      <c r="D286" s="16"/>
      <c r="E286" s="11"/>
      <c r="F286" s="11">
        <v>30059090</v>
      </c>
      <c r="G286" s="11" t="s">
        <v>154</v>
      </c>
      <c r="H286" s="12">
        <v>360</v>
      </c>
      <c r="I286" s="11" t="s">
        <v>13</v>
      </c>
      <c r="J286" s="144">
        <v>12960</v>
      </c>
      <c r="K286" s="12">
        <v>221209.08</v>
      </c>
      <c r="L286" s="12">
        <v>4425</v>
      </c>
      <c r="M286" s="11"/>
      <c r="N286" s="11"/>
      <c r="O286" s="11"/>
      <c r="P286" s="11"/>
      <c r="Q286" s="11"/>
      <c r="R286" s="12"/>
      <c r="S286" s="11"/>
      <c r="T286" s="13"/>
      <c r="U286" s="12"/>
      <c r="V286" s="12"/>
      <c r="W286" s="79">
        <f t="shared" si="81"/>
        <v>12960</v>
      </c>
      <c r="X286" s="66">
        <f t="shared" si="82"/>
        <v>221209.08</v>
      </c>
      <c r="Y286" s="66">
        <f t="shared" si="80"/>
        <v>4425</v>
      </c>
      <c r="Z286" s="67">
        <f t="shared" si="83"/>
        <v>360</v>
      </c>
    </row>
    <row r="287" spans="1:26" x14ac:dyDescent="0.3">
      <c r="A287" s="64"/>
      <c r="B287" s="73" t="s">
        <v>597</v>
      </c>
      <c r="C287" s="15"/>
      <c r="D287" s="16"/>
      <c r="E287" s="11"/>
      <c r="F287" s="11">
        <v>48114900</v>
      </c>
      <c r="G287" s="11" t="s">
        <v>154</v>
      </c>
      <c r="H287" s="12">
        <v>90</v>
      </c>
      <c r="I287" s="11" t="s">
        <v>13</v>
      </c>
      <c r="J287" s="144">
        <v>1500</v>
      </c>
      <c r="K287" s="12">
        <v>88491.61</v>
      </c>
      <c r="L287" s="12">
        <v>54425</v>
      </c>
      <c r="M287" s="11"/>
      <c r="N287" s="11"/>
      <c r="O287" s="11"/>
      <c r="P287" s="11"/>
      <c r="Q287" s="11"/>
      <c r="R287" s="12"/>
      <c r="S287" s="11"/>
      <c r="T287" s="13"/>
      <c r="U287" s="12"/>
      <c r="V287" s="12"/>
      <c r="W287" s="79">
        <f t="shared" si="81"/>
        <v>1500</v>
      </c>
      <c r="X287" s="66">
        <f t="shared" si="82"/>
        <v>88491.61</v>
      </c>
      <c r="Y287" s="66">
        <f t="shared" si="80"/>
        <v>54425</v>
      </c>
      <c r="Z287" s="67">
        <f t="shared" si="83"/>
        <v>90</v>
      </c>
    </row>
    <row r="288" spans="1:26" x14ac:dyDescent="0.3">
      <c r="A288" s="64"/>
      <c r="B288" s="73" t="s">
        <v>598</v>
      </c>
      <c r="C288" s="15"/>
      <c r="D288" s="16"/>
      <c r="E288" s="11"/>
      <c r="F288" s="11">
        <v>48114900</v>
      </c>
      <c r="G288" s="11" t="s">
        <v>154</v>
      </c>
      <c r="H288" s="12">
        <v>300</v>
      </c>
      <c r="I288" s="11" t="s">
        <v>13</v>
      </c>
      <c r="J288" s="144">
        <v>1500</v>
      </c>
      <c r="K288" s="12">
        <v>181587.46</v>
      </c>
      <c r="L288" s="12">
        <v>123351</v>
      </c>
      <c r="M288" s="11" t="s">
        <v>404</v>
      </c>
      <c r="N288" s="11" t="s">
        <v>405</v>
      </c>
      <c r="O288" s="16">
        <v>46246</v>
      </c>
      <c r="P288" s="11" t="s">
        <v>594</v>
      </c>
      <c r="Q288" s="11"/>
      <c r="R288" s="12">
        <v>0.7</v>
      </c>
      <c r="S288" s="11" t="s">
        <v>13</v>
      </c>
      <c r="T288" s="13">
        <v>23</v>
      </c>
      <c r="U288" s="12">
        <f>(K288*T288)/J288</f>
        <v>2784.3410533333331</v>
      </c>
      <c r="V288" s="12">
        <f>(T288*L288)/J288</f>
        <v>1891.3820000000001</v>
      </c>
      <c r="W288" s="79">
        <f t="shared" si="81"/>
        <v>1477</v>
      </c>
      <c r="X288" s="66">
        <f t="shared" si="82"/>
        <v>178803.11894666665</v>
      </c>
      <c r="Y288" s="66">
        <f t="shared" si="80"/>
        <v>121459.618</v>
      </c>
      <c r="Z288" s="67">
        <f t="shared" si="83"/>
        <v>299.3</v>
      </c>
    </row>
    <row r="289" spans="1:26" x14ac:dyDescent="0.3">
      <c r="A289" s="64"/>
      <c r="B289" s="73" t="s">
        <v>599</v>
      </c>
      <c r="C289" s="15"/>
      <c r="D289" s="16"/>
      <c r="E289" s="11"/>
      <c r="F289" s="11">
        <v>48114900</v>
      </c>
      <c r="G289" s="11" t="s">
        <v>154</v>
      </c>
      <c r="H289" s="12">
        <v>240</v>
      </c>
      <c r="I289" s="11" t="s">
        <v>13</v>
      </c>
      <c r="J289" s="144">
        <v>900</v>
      </c>
      <c r="K289" s="12">
        <v>229055.05</v>
      </c>
      <c r="L289" s="12">
        <v>140872</v>
      </c>
      <c r="M289" s="11" t="s">
        <v>204</v>
      </c>
      <c r="N289" s="11" t="s">
        <v>578</v>
      </c>
      <c r="O289" s="16">
        <v>46224</v>
      </c>
      <c r="P289" s="11" t="s">
        <v>600</v>
      </c>
      <c r="Q289" s="11"/>
      <c r="R289" s="12">
        <v>0.8</v>
      </c>
      <c r="S289" s="11" t="s">
        <v>13</v>
      </c>
      <c r="T289" s="13">
        <v>39</v>
      </c>
      <c r="U289" s="12">
        <f>(K289*T289)/J289</f>
        <v>9925.7188333333324</v>
      </c>
      <c r="V289" s="12">
        <f>(T289*L289)/J289</f>
        <v>6104.4533333333329</v>
      </c>
      <c r="W289" s="79">
        <f t="shared" si="81"/>
        <v>861</v>
      </c>
      <c r="X289" s="66">
        <f t="shared" si="82"/>
        <v>219129.33116666664</v>
      </c>
      <c r="Y289" s="66">
        <f t="shared" si="80"/>
        <v>134767.54666666666</v>
      </c>
      <c r="Z289" s="67">
        <f t="shared" si="83"/>
        <v>239.2</v>
      </c>
    </row>
    <row r="290" spans="1:26" x14ac:dyDescent="0.3">
      <c r="A290" s="64"/>
      <c r="B290" s="73" t="s">
        <v>601</v>
      </c>
      <c r="C290" s="15"/>
      <c r="D290" s="16"/>
      <c r="E290" s="11"/>
      <c r="F290" s="11">
        <v>30059090</v>
      </c>
      <c r="G290" s="11" t="s">
        <v>154</v>
      </c>
      <c r="H290" s="12">
        <v>900</v>
      </c>
      <c r="I290" s="11" t="s">
        <v>13</v>
      </c>
      <c r="J290" s="144">
        <v>1800</v>
      </c>
      <c r="K290" s="12">
        <v>384816.12</v>
      </c>
      <c r="L290" s="12">
        <v>7697</v>
      </c>
      <c r="M290" s="11" t="s">
        <v>539</v>
      </c>
      <c r="N290" s="11" t="s">
        <v>540</v>
      </c>
      <c r="O290" s="16">
        <v>46202</v>
      </c>
      <c r="P290" s="11" t="s">
        <v>591</v>
      </c>
      <c r="Q290" s="11"/>
      <c r="R290" s="12">
        <v>64</v>
      </c>
      <c r="S290" s="11" t="s">
        <v>13</v>
      </c>
      <c r="T290" s="13">
        <v>120</v>
      </c>
      <c r="U290" s="12">
        <f>(K290*T290)/J290</f>
        <v>25654.407999999999</v>
      </c>
      <c r="V290" s="12">
        <f>(T290*L290)/J290</f>
        <v>513.13333333333333</v>
      </c>
      <c r="W290" s="79">
        <f>J290-T290-T291</f>
        <v>1477</v>
      </c>
      <c r="X290" s="66">
        <f>K290-U290-U291</f>
        <v>315763.00513333332</v>
      </c>
      <c r="Y290" s="66">
        <f>L290-V290-V291</f>
        <v>6315.8161111111112</v>
      </c>
      <c r="Z290" s="67">
        <f>H290-R290-R291</f>
        <v>742</v>
      </c>
    </row>
    <row r="291" spans="1:26" x14ac:dyDescent="0.3">
      <c r="A291" s="64"/>
      <c r="B291" s="73"/>
      <c r="C291" s="15"/>
      <c r="D291" s="16"/>
      <c r="E291" s="11"/>
      <c r="F291" s="11"/>
      <c r="G291" s="11"/>
      <c r="H291" s="12"/>
      <c r="I291" s="11"/>
      <c r="J291" s="144"/>
      <c r="K291" s="12"/>
      <c r="L291" s="12"/>
      <c r="M291" s="11" t="s">
        <v>404</v>
      </c>
      <c r="N291" s="11" t="s">
        <v>405</v>
      </c>
      <c r="O291" s="16">
        <v>46246</v>
      </c>
      <c r="P291" s="11" t="s">
        <v>594</v>
      </c>
      <c r="Q291" s="11"/>
      <c r="R291" s="12">
        <v>94</v>
      </c>
      <c r="S291" s="11" t="s">
        <v>13</v>
      </c>
      <c r="T291" s="13">
        <v>203</v>
      </c>
      <c r="U291" s="12">
        <f>(K290*T291)/J290</f>
        <v>43398.706866666667</v>
      </c>
      <c r="V291" s="12">
        <f>(T291*L290)/J290</f>
        <v>868.05055555555555</v>
      </c>
      <c r="W291" s="79"/>
      <c r="X291" s="66"/>
      <c r="Y291" s="66"/>
      <c r="Z291" s="67"/>
    </row>
    <row r="292" spans="1:26" x14ac:dyDescent="0.3">
      <c r="A292" s="64"/>
      <c r="B292" s="73" t="s">
        <v>602</v>
      </c>
      <c r="C292" s="15"/>
      <c r="D292" s="16"/>
      <c r="E292" s="11"/>
      <c r="F292" s="11">
        <v>90178000</v>
      </c>
      <c r="G292" s="11" t="s">
        <v>154</v>
      </c>
      <c r="H292" s="12">
        <v>6500</v>
      </c>
      <c r="I292" s="11" t="s">
        <v>5</v>
      </c>
      <c r="J292" s="144">
        <v>780</v>
      </c>
      <c r="K292" s="12">
        <v>263227.52000000002</v>
      </c>
      <c r="L292" s="12">
        <v>47382</v>
      </c>
      <c r="M292" s="11" t="s">
        <v>330</v>
      </c>
      <c r="N292" s="11" t="s">
        <v>331</v>
      </c>
      <c r="O292" s="16">
        <v>46232</v>
      </c>
      <c r="P292" s="11" t="s">
        <v>589</v>
      </c>
      <c r="Q292" s="11"/>
      <c r="R292" s="12">
        <v>150</v>
      </c>
      <c r="S292" s="11" t="s">
        <v>13</v>
      </c>
      <c r="T292" s="13">
        <v>50</v>
      </c>
      <c r="U292" s="12">
        <f>(K292*T292)/J292</f>
        <v>16873.558974358974</v>
      </c>
      <c r="V292" s="12">
        <f>(T292*L292)/J292</f>
        <v>3037.3076923076924</v>
      </c>
      <c r="W292" s="79">
        <f>J292-T292-T293</f>
        <v>680</v>
      </c>
      <c r="X292" s="66">
        <f>K292-U292-U293</f>
        <v>229480.40205128206</v>
      </c>
      <c r="Y292" s="66">
        <f>L292-V292-V293</f>
        <v>41307.38461538461</v>
      </c>
      <c r="Z292" s="67">
        <f>H292-R292-R293</f>
        <v>6325</v>
      </c>
    </row>
    <row r="293" spans="1:26" x14ac:dyDescent="0.3">
      <c r="A293" s="64"/>
      <c r="B293" s="73"/>
      <c r="C293" s="15"/>
      <c r="D293" s="16"/>
      <c r="E293" s="11"/>
      <c r="F293" s="11"/>
      <c r="G293" s="11"/>
      <c r="H293" s="12"/>
      <c r="I293" s="11"/>
      <c r="J293" s="144"/>
      <c r="K293" s="12"/>
      <c r="L293" s="12"/>
      <c r="M293" s="11" t="s">
        <v>404</v>
      </c>
      <c r="N293" s="11" t="s">
        <v>405</v>
      </c>
      <c r="O293" s="16">
        <v>46246</v>
      </c>
      <c r="P293" s="11" t="s">
        <v>594</v>
      </c>
      <c r="Q293" s="11"/>
      <c r="R293" s="12">
        <v>25</v>
      </c>
      <c r="S293" s="11" t="s">
        <v>13</v>
      </c>
      <c r="T293" s="13">
        <v>50</v>
      </c>
      <c r="U293" s="12">
        <f>(K292*T293)/J292</f>
        <v>16873.558974358974</v>
      </c>
      <c r="V293" s="12">
        <f>(T293*L292)/J292</f>
        <v>3037.3076923076924</v>
      </c>
      <c r="W293" s="79"/>
      <c r="X293" s="66"/>
      <c r="Y293" s="66"/>
      <c r="Z293" s="67"/>
    </row>
    <row r="294" spans="1:26" x14ac:dyDescent="0.3">
      <c r="A294" s="64"/>
      <c r="B294" s="73" t="s">
        <v>603</v>
      </c>
      <c r="C294" s="15"/>
      <c r="D294" s="16"/>
      <c r="E294" s="11"/>
      <c r="F294" s="11">
        <v>90178000</v>
      </c>
      <c r="G294" s="11" t="s">
        <v>154</v>
      </c>
      <c r="H294" s="12">
        <v>6500</v>
      </c>
      <c r="I294" s="11" t="s">
        <v>5</v>
      </c>
      <c r="J294" s="144">
        <v>780</v>
      </c>
      <c r="K294" s="12">
        <v>340820.83</v>
      </c>
      <c r="L294" s="12">
        <v>61349</v>
      </c>
      <c r="M294" s="11" t="s">
        <v>433</v>
      </c>
      <c r="N294" s="11" t="s">
        <v>434</v>
      </c>
      <c r="O294" s="16">
        <v>46244</v>
      </c>
      <c r="P294" s="11" t="s">
        <v>604</v>
      </c>
      <c r="Q294" s="11"/>
      <c r="R294" s="12">
        <v>20</v>
      </c>
      <c r="S294" s="11" t="s">
        <v>5</v>
      </c>
      <c r="T294" s="13">
        <v>20</v>
      </c>
      <c r="U294" s="12">
        <f>(K294*T294)/J294</f>
        <v>8738.9956410256418</v>
      </c>
      <c r="V294" s="12">
        <f>(T294*L294)/J294</f>
        <v>1573.051282051282</v>
      </c>
      <c r="W294" s="79">
        <f t="shared" ref="W294" si="84">J294-T294</f>
        <v>760</v>
      </c>
      <c r="X294" s="66">
        <f t="shared" ref="X294" si="85">K294-U294</f>
        <v>332081.83435897436</v>
      </c>
      <c r="Y294" s="66">
        <f t="shared" ref="Y294" si="86">L294-V294</f>
        <v>59775.948717948719</v>
      </c>
      <c r="Z294" s="67">
        <f t="shared" ref="Z294" si="87">H294-R294</f>
        <v>6480</v>
      </c>
    </row>
    <row r="295" spans="1:26" x14ac:dyDescent="0.3">
      <c r="A295" s="1"/>
      <c r="B295" s="10"/>
      <c r="C295" s="11"/>
      <c r="D295" s="11"/>
      <c r="E295" s="11"/>
      <c r="F295" s="11"/>
      <c r="G295" s="11"/>
      <c r="H295" s="12"/>
      <c r="I295" s="11"/>
      <c r="J295" s="13"/>
      <c r="K295" s="12"/>
      <c r="L295" s="12"/>
      <c r="M295" s="11"/>
      <c r="N295" s="11"/>
      <c r="O295" s="11"/>
      <c r="P295" s="11"/>
      <c r="Q295" s="11"/>
      <c r="R295" s="12"/>
      <c r="S295" s="11"/>
      <c r="T295" s="13"/>
      <c r="U295" s="12"/>
      <c r="V295" s="12"/>
      <c r="W295" s="134"/>
      <c r="X295" s="68"/>
      <c r="Y295" s="150"/>
      <c r="Z295" s="109"/>
    </row>
    <row r="296" spans="1:26" x14ac:dyDescent="0.3">
      <c r="A296" s="65" t="s">
        <v>605</v>
      </c>
      <c r="B296" s="73" t="s">
        <v>606</v>
      </c>
      <c r="C296" s="15" t="s">
        <v>607</v>
      </c>
      <c r="D296" s="16">
        <v>46106</v>
      </c>
      <c r="E296" s="11" t="s">
        <v>608</v>
      </c>
      <c r="F296" s="11">
        <v>30061000</v>
      </c>
      <c r="G296" s="11" t="s">
        <v>154</v>
      </c>
      <c r="H296" s="12">
        <v>4.9000000000000004</v>
      </c>
      <c r="I296" s="11" t="s">
        <v>13</v>
      </c>
      <c r="J296" s="13">
        <v>100</v>
      </c>
      <c r="K296" s="12">
        <v>85785.22</v>
      </c>
      <c r="L296" s="12">
        <v>1784</v>
      </c>
      <c r="M296" s="11"/>
      <c r="N296" s="11"/>
      <c r="O296" s="11"/>
      <c r="P296" s="11"/>
      <c r="Q296" s="11"/>
      <c r="R296" s="12"/>
      <c r="S296" s="11"/>
      <c r="T296" s="13"/>
      <c r="U296" s="12"/>
      <c r="V296" s="12"/>
      <c r="W296" s="79">
        <v>100</v>
      </c>
      <c r="X296" s="66">
        <v>85785.22</v>
      </c>
      <c r="Y296" s="66">
        <f t="shared" si="55"/>
        <v>1784</v>
      </c>
      <c r="Z296" s="119">
        <v>4.9000000000000004</v>
      </c>
    </row>
    <row r="297" spans="1:26" x14ac:dyDescent="0.3">
      <c r="A297" s="64"/>
      <c r="B297" s="73" t="s">
        <v>609</v>
      </c>
      <c r="C297" s="15"/>
      <c r="D297" s="16"/>
      <c r="E297" s="11"/>
      <c r="F297" s="11">
        <v>30061000</v>
      </c>
      <c r="G297" s="11" t="s">
        <v>154</v>
      </c>
      <c r="H297" s="12">
        <v>5</v>
      </c>
      <c r="I297" s="11" t="s">
        <v>13</v>
      </c>
      <c r="J297" s="13">
        <v>100</v>
      </c>
      <c r="K297" s="12">
        <v>90780.28</v>
      </c>
      <c r="L297" s="12">
        <v>1816</v>
      </c>
      <c r="M297" s="11" t="s">
        <v>201</v>
      </c>
      <c r="N297" s="11" t="s">
        <v>202</v>
      </c>
      <c r="O297" s="16">
        <v>46220</v>
      </c>
      <c r="P297" s="11" t="s">
        <v>610</v>
      </c>
      <c r="Q297" s="11"/>
      <c r="R297" s="12">
        <v>2.5</v>
      </c>
      <c r="S297" s="11" t="s">
        <v>13</v>
      </c>
      <c r="T297" s="13">
        <v>30</v>
      </c>
      <c r="U297" s="12">
        <f>(K297*T297)/J297</f>
        <v>27234.083999999999</v>
      </c>
      <c r="V297" s="12">
        <f>(T297*L297)/J297</f>
        <v>544.79999999999995</v>
      </c>
      <c r="W297" s="79">
        <f>J297-T297</f>
        <v>70</v>
      </c>
      <c r="X297" s="66">
        <f>K297-U297</f>
        <v>63546.195999999996</v>
      </c>
      <c r="Y297" s="66">
        <f t="shared" si="55"/>
        <v>1271.2</v>
      </c>
      <c r="Z297" s="67">
        <f>H297-R297</f>
        <v>2.5</v>
      </c>
    </row>
    <row r="298" spans="1:26" x14ac:dyDescent="0.3">
      <c r="A298" s="64"/>
      <c r="B298" s="10" t="s">
        <v>611</v>
      </c>
      <c r="C298" s="15"/>
      <c r="D298" s="16"/>
      <c r="E298" s="11"/>
      <c r="F298" s="11">
        <v>30061000</v>
      </c>
      <c r="G298" s="11" t="s">
        <v>154</v>
      </c>
      <c r="H298" s="12">
        <v>4.8</v>
      </c>
      <c r="I298" s="11" t="s">
        <v>13</v>
      </c>
      <c r="J298" s="13">
        <v>100</v>
      </c>
      <c r="K298" s="12">
        <v>83907.28</v>
      </c>
      <c r="L298" s="12">
        <v>1679</v>
      </c>
      <c r="M298" s="11" t="s">
        <v>201</v>
      </c>
      <c r="N298" s="11" t="s">
        <v>202</v>
      </c>
      <c r="O298" s="16">
        <v>46220</v>
      </c>
      <c r="P298" s="11" t="s">
        <v>610</v>
      </c>
      <c r="Q298" s="11"/>
      <c r="R298" s="12">
        <v>2.5</v>
      </c>
      <c r="S298" s="11" t="s">
        <v>13</v>
      </c>
      <c r="T298" s="13">
        <v>30</v>
      </c>
      <c r="U298" s="12">
        <f>(K298*T298)/J298</f>
        <v>25172.183999999997</v>
      </c>
      <c r="V298" s="12">
        <f>(T298*L298)/J298</f>
        <v>503.7</v>
      </c>
      <c r="W298" s="79">
        <f>J298-T298</f>
        <v>70</v>
      </c>
      <c r="X298" s="66">
        <f>K298-U298</f>
        <v>58735.096000000005</v>
      </c>
      <c r="Y298" s="66">
        <f t="shared" ref="Y298" si="88">L298-V298</f>
        <v>1175.3</v>
      </c>
      <c r="Z298" s="67">
        <f>H298-R298</f>
        <v>2.2999999999999998</v>
      </c>
    </row>
    <row r="299" spans="1:26" x14ac:dyDescent="0.3">
      <c r="A299" s="64"/>
      <c r="B299" s="73" t="s">
        <v>612</v>
      </c>
      <c r="C299" s="15"/>
      <c r="D299" s="16"/>
      <c r="E299" s="11"/>
      <c r="F299" s="11">
        <v>30061000</v>
      </c>
      <c r="G299" s="11" t="s">
        <v>154</v>
      </c>
      <c r="H299" s="12">
        <v>4.7</v>
      </c>
      <c r="I299" s="11" t="s">
        <v>13</v>
      </c>
      <c r="J299" s="13">
        <v>100</v>
      </c>
      <c r="K299" s="12">
        <v>82029.33</v>
      </c>
      <c r="L299" s="12">
        <v>1641</v>
      </c>
      <c r="M299" s="11"/>
      <c r="N299" s="11"/>
      <c r="O299" s="11"/>
      <c r="P299" s="11"/>
      <c r="Q299" s="11"/>
      <c r="R299" s="12"/>
      <c r="S299" s="11"/>
      <c r="T299" s="13"/>
      <c r="U299" s="12"/>
      <c r="V299" s="12"/>
      <c r="W299" s="79">
        <f t="shared" ref="W299:W308" si="89">J299-T299</f>
        <v>100</v>
      </c>
      <c r="X299" s="66">
        <f t="shared" ref="X299:X308" si="90">K299-U299</f>
        <v>82029.33</v>
      </c>
      <c r="Y299" s="66">
        <f t="shared" ref="Y299:Y308" si="91">L299-V299</f>
        <v>1641</v>
      </c>
      <c r="Z299" s="67">
        <f t="shared" ref="Z299:Z308" si="92">H299-R299</f>
        <v>4.7</v>
      </c>
    </row>
    <row r="300" spans="1:26" x14ac:dyDescent="0.3">
      <c r="A300" s="64"/>
      <c r="B300" s="73" t="s">
        <v>613</v>
      </c>
      <c r="C300" s="15"/>
      <c r="D300" s="16"/>
      <c r="E300" s="11"/>
      <c r="F300" s="11">
        <v>30061000</v>
      </c>
      <c r="G300" s="11" t="s">
        <v>154</v>
      </c>
      <c r="H300" s="12">
        <v>4.3</v>
      </c>
      <c r="I300" s="11" t="s">
        <v>13</v>
      </c>
      <c r="J300" s="13">
        <v>100</v>
      </c>
      <c r="K300" s="12">
        <v>74517.539999999994</v>
      </c>
      <c r="L300" s="12">
        <v>1491</v>
      </c>
      <c r="M300" s="11"/>
      <c r="N300" s="11"/>
      <c r="O300" s="11"/>
      <c r="P300" s="11"/>
      <c r="Q300" s="11"/>
      <c r="R300" s="12"/>
      <c r="S300" s="11"/>
      <c r="T300" s="13"/>
      <c r="U300" s="12"/>
      <c r="V300" s="12"/>
      <c r="W300" s="79">
        <f t="shared" si="89"/>
        <v>100</v>
      </c>
      <c r="X300" s="66">
        <f t="shared" si="90"/>
        <v>74517.539999999994</v>
      </c>
      <c r="Y300" s="66">
        <f t="shared" si="91"/>
        <v>1491</v>
      </c>
      <c r="Z300" s="67">
        <f t="shared" si="92"/>
        <v>4.3</v>
      </c>
    </row>
    <row r="301" spans="1:26" x14ac:dyDescent="0.3">
      <c r="A301" s="64"/>
      <c r="B301" s="73" t="s">
        <v>614</v>
      </c>
      <c r="C301" s="15"/>
      <c r="D301" s="16"/>
      <c r="E301" s="11"/>
      <c r="F301" s="11">
        <v>30061000</v>
      </c>
      <c r="G301" s="11" t="s">
        <v>154</v>
      </c>
      <c r="H301" s="12">
        <v>4.4000000000000004</v>
      </c>
      <c r="I301" s="11" t="s">
        <v>13</v>
      </c>
      <c r="J301" s="13">
        <v>100</v>
      </c>
      <c r="K301" s="12">
        <v>76395.48</v>
      </c>
      <c r="L301" s="12">
        <v>1528</v>
      </c>
      <c r="M301" s="11"/>
      <c r="N301" s="11"/>
      <c r="O301" s="11"/>
      <c r="P301" s="11"/>
      <c r="Q301" s="11"/>
      <c r="R301" s="12"/>
      <c r="S301" s="11"/>
      <c r="T301" s="13"/>
      <c r="U301" s="12"/>
      <c r="V301" s="12"/>
      <c r="W301" s="79">
        <f t="shared" si="89"/>
        <v>100</v>
      </c>
      <c r="X301" s="66">
        <f t="shared" si="90"/>
        <v>76395.48</v>
      </c>
      <c r="Y301" s="66">
        <f t="shared" si="91"/>
        <v>1528</v>
      </c>
      <c r="Z301" s="67">
        <f t="shared" si="92"/>
        <v>4.4000000000000004</v>
      </c>
    </row>
    <row r="302" spans="1:26" x14ac:dyDescent="0.3">
      <c r="A302" s="64"/>
      <c r="B302" s="10" t="s">
        <v>615</v>
      </c>
      <c r="C302" s="15"/>
      <c r="D302" s="16"/>
      <c r="E302" s="11"/>
      <c r="F302" s="11">
        <v>30061000</v>
      </c>
      <c r="G302" s="11" t="s">
        <v>154</v>
      </c>
      <c r="H302" s="12">
        <v>4.7</v>
      </c>
      <c r="I302" s="11" t="s">
        <v>13</v>
      </c>
      <c r="J302" s="13">
        <v>100</v>
      </c>
      <c r="K302" s="12">
        <v>78912.23</v>
      </c>
      <c r="L302" s="12">
        <v>1579</v>
      </c>
      <c r="M302" s="11"/>
      <c r="N302" s="11"/>
      <c r="O302" s="11"/>
      <c r="P302" s="11"/>
      <c r="Q302" s="11"/>
      <c r="R302" s="12"/>
      <c r="S302" s="11"/>
      <c r="T302" s="13"/>
      <c r="U302" s="12"/>
      <c r="V302" s="12"/>
      <c r="W302" s="79">
        <f t="shared" si="89"/>
        <v>100</v>
      </c>
      <c r="X302" s="66">
        <f t="shared" si="90"/>
        <v>78912.23</v>
      </c>
      <c r="Y302" s="66">
        <f t="shared" si="91"/>
        <v>1579</v>
      </c>
      <c r="Z302" s="67">
        <f t="shared" si="92"/>
        <v>4.7</v>
      </c>
    </row>
    <row r="303" spans="1:26" x14ac:dyDescent="0.3">
      <c r="A303" s="85"/>
      <c r="B303" s="213" t="s">
        <v>616</v>
      </c>
      <c r="C303" s="87"/>
      <c r="D303" s="88"/>
      <c r="E303" s="89"/>
      <c r="F303" s="89">
        <v>30061000</v>
      </c>
      <c r="G303" s="89" t="s">
        <v>154</v>
      </c>
      <c r="H303" s="90">
        <v>4.2</v>
      </c>
      <c r="I303" s="89" t="s">
        <v>13</v>
      </c>
      <c r="J303" s="91">
        <v>100</v>
      </c>
      <c r="K303" s="90">
        <v>72639.59</v>
      </c>
      <c r="L303" s="90">
        <v>1453</v>
      </c>
      <c r="M303" s="89" t="s">
        <v>617</v>
      </c>
      <c r="N303" s="89" t="s">
        <v>618</v>
      </c>
      <c r="O303" s="88">
        <v>46254</v>
      </c>
      <c r="P303" s="89" t="s">
        <v>619</v>
      </c>
      <c r="Q303" s="89"/>
      <c r="R303" s="90">
        <v>4.2</v>
      </c>
      <c r="S303" s="89" t="s">
        <v>13</v>
      </c>
      <c r="T303" s="91">
        <v>100</v>
      </c>
      <c r="U303" s="90">
        <f>(K303*T303)/J303</f>
        <v>72639.59</v>
      </c>
      <c r="V303" s="90">
        <f>(T303*L303)/J303</f>
        <v>1453</v>
      </c>
      <c r="W303" s="79">
        <f t="shared" si="89"/>
        <v>0</v>
      </c>
      <c r="X303" s="66">
        <f t="shared" si="90"/>
        <v>0</v>
      </c>
      <c r="Y303" s="66">
        <f t="shared" si="91"/>
        <v>0</v>
      </c>
      <c r="Z303" s="67">
        <f t="shared" si="92"/>
        <v>0</v>
      </c>
    </row>
    <row r="304" spans="1:26" x14ac:dyDescent="0.3">
      <c r="A304" s="64"/>
      <c r="B304" s="73" t="s">
        <v>620</v>
      </c>
      <c r="C304" s="15"/>
      <c r="D304" s="16"/>
      <c r="E304" s="11"/>
      <c r="F304" s="11">
        <v>30061000</v>
      </c>
      <c r="G304" s="11" t="s">
        <v>154</v>
      </c>
      <c r="H304" s="12">
        <v>4</v>
      </c>
      <c r="I304" s="11" t="s">
        <v>13</v>
      </c>
      <c r="J304" s="13">
        <v>100</v>
      </c>
      <c r="K304" s="12">
        <v>70442.25</v>
      </c>
      <c r="L304" s="12">
        <v>1409</v>
      </c>
      <c r="M304" s="11" t="s">
        <v>404</v>
      </c>
      <c r="N304" s="11" t="s">
        <v>405</v>
      </c>
      <c r="O304" s="16">
        <v>46246</v>
      </c>
      <c r="P304" s="11" t="s">
        <v>621</v>
      </c>
      <c r="Q304" s="11"/>
      <c r="R304" s="12">
        <v>1</v>
      </c>
      <c r="S304" s="11" t="s">
        <v>13</v>
      </c>
      <c r="T304" s="13">
        <v>29</v>
      </c>
      <c r="U304" s="12">
        <f>(K304*T304)/J304</f>
        <v>20428.252499999999</v>
      </c>
      <c r="V304" s="12">
        <f>(T304*L304)/J304</f>
        <v>408.61</v>
      </c>
      <c r="W304" s="79">
        <f t="shared" si="89"/>
        <v>71</v>
      </c>
      <c r="X304" s="66">
        <f t="shared" si="90"/>
        <v>50013.997499999998</v>
      </c>
      <c r="Y304" s="66">
        <f t="shared" si="91"/>
        <v>1000.39</v>
      </c>
      <c r="Z304" s="67">
        <f t="shared" si="92"/>
        <v>3</v>
      </c>
    </row>
    <row r="305" spans="1:26" x14ac:dyDescent="0.3">
      <c r="A305" s="64"/>
      <c r="B305" s="73" t="s">
        <v>622</v>
      </c>
      <c r="C305" s="15"/>
      <c r="D305" s="16"/>
      <c r="E305" s="11"/>
      <c r="F305" s="11">
        <v>30061000</v>
      </c>
      <c r="G305" s="11" t="s">
        <v>154</v>
      </c>
      <c r="H305" s="12">
        <v>4</v>
      </c>
      <c r="I305" s="11" t="s">
        <v>13</v>
      </c>
      <c r="J305" s="13">
        <v>100</v>
      </c>
      <c r="K305" s="12">
        <v>70442.25</v>
      </c>
      <c r="L305" s="12">
        <v>1409</v>
      </c>
      <c r="M305" s="11"/>
      <c r="N305" s="11"/>
      <c r="O305" s="11"/>
      <c r="P305" s="11"/>
      <c r="Q305" s="11"/>
      <c r="R305" s="12"/>
      <c r="S305" s="11"/>
      <c r="T305" s="13"/>
      <c r="U305" s="12"/>
      <c r="V305" s="12"/>
      <c r="W305" s="79">
        <f t="shared" si="89"/>
        <v>100</v>
      </c>
      <c r="X305" s="66">
        <f t="shared" si="90"/>
        <v>70442.25</v>
      </c>
      <c r="Y305" s="66">
        <f t="shared" si="91"/>
        <v>1409</v>
      </c>
      <c r="Z305" s="67">
        <f t="shared" si="92"/>
        <v>4</v>
      </c>
    </row>
    <row r="306" spans="1:26" x14ac:dyDescent="0.3">
      <c r="A306" s="64"/>
      <c r="B306" s="73" t="s">
        <v>623</v>
      </c>
      <c r="C306" s="15"/>
      <c r="D306" s="16"/>
      <c r="E306" s="11"/>
      <c r="F306" s="11">
        <v>30061000</v>
      </c>
      <c r="G306" s="11" t="s">
        <v>154</v>
      </c>
      <c r="H306" s="12">
        <v>4.0999999999999996</v>
      </c>
      <c r="I306" s="11" t="s">
        <v>13</v>
      </c>
      <c r="J306" s="13">
        <v>100</v>
      </c>
      <c r="K306" s="12">
        <v>72320.2</v>
      </c>
      <c r="L306" s="12">
        <v>1447</v>
      </c>
      <c r="M306" s="11"/>
      <c r="N306" s="11"/>
      <c r="O306" s="11"/>
      <c r="P306" s="11"/>
      <c r="Q306" s="11"/>
      <c r="R306" s="12"/>
      <c r="S306" s="11"/>
      <c r="T306" s="13"/>
      <c r="U306" s="12"/>
      <c r="V306" s="12"/>
      <c r="W306" s="79">
        <f t="shared" si="89"/>
        <v>100</v>
      </c>
      <c r="X306" s="66">
        <f t="shared" si="90"/>
        <v>72320.2</v>
      </c>
      <c r="Y306" s="66">
        <f t="shared" si="91"/>
        <v>1447</v>
      </c>
      <c r="Z306" s="67">
        <f t="shared" si="92"/>
        <v>4.0999999999999996</v>
      </c>
    </row>
    <row r="307" spans="1:26" x14ac:dyDescent="0.3">
      <c r="A307" s="64"/>
      <c r="B307" s="73" t="s">
        <v>624</v>
      </c>
      <c r="C307" s="15"/>
      <c r="D307" s="16"/>
      <c r="E307" s="11"/>
      <c r="F307" s="11">
        <v>30061000</v>
      </c>
      <c r="G307" s="11" t="s">
        <v>154</v>
      </c>
      <c r="H307" s="12">
        <v>4.09</v>
      </c>
      <c r="I307" s="11" t="s">
        <v>13</v>
      </c>
      <c r="J307" s="13">
        <v>100</v>
      </c>
      <c r="K307" s="12">
        <v>70729.710000000006</v>
      </c>
      <c r="L307" s="12">
        <v>1415</v>
      </c>
      <c r="M307" s="11"/>
      <c r="N307" s="11"/>
      <c r="O307" s="11"/>
      <c r="P307" s="11"/>
      <c r="Q307" s="11"/>
      <c r="R307" s="12"/>
      <c r="S307" s="11"/>
      <c r="T307" s="13"/>
      <c r="U307" s="12"/>
      <c r="V307" s="12"/>
      <c r="W307" s="79">
        <f t="shared" si="89"/>
        <v>100</v>
      </c>
      <c r="X307" s="66">
        <f t="shared" si="90"/>
        <v>70729.710000000006</v>
      </c>
      <c r="Y307" s="66">
        <f t="shared" si="91"/>
        <v>1415</v>
      </c>
      <c r="Z307" s="67">
        <f t="shared" si="92"/>
        <v>4.09</v>
      </c>
    </row>
    <row r="308" spans="1:26" x14ac:dyDescent="0.3">
      <c r="A308" s="64"/>
      <c r="B308" s="73" t="s">
        <v>625</v>
      </c>
      <c r="C308" s="15"/>
      <c r="D308" s="16"/>
      <c r="E308" s="11"/>
      <c r="F308" s="11">
        <v>30061000</v>
      </c>
      <c r="G308" s="11" t="s">
        <v>154</v>
      </c>
      <c r="H308" s="12">
        <v>4.5</v>
      </c>
      <c r="I308" s="11" t="s">
        <v>13</v>
      </c>
      <c r="J308" s="13">
        <v>100</v>
      </c>
      <c r="K308" s="12">
        <v>78273.440000000002</v>
      </c>
      <c r="L308" s="12">
        <v>1566</v>
      </c>
      <c r="M308" s="11" t="s">
        <v>404</v>
      </c>
      <c r="N308" s="11" t="s">
        <v>405</v>
      </c>
      <c r="O308" s="16">
        <v>46246</v>
      </c>
      <c r="P308" s="11" t="s">
        <v>621</v>
      </c>
      <c r="Q308" s="11"/>
      <c r="R308" s="12">
        <v>0.73</v>
      </c>
      <c r="S308" s="11" t="s">
        <v>13</v>
      </c>
      <c r="T308" s="13">
        <v>23</v>
      </c>
      <c r="U308" s="12">
        <f>(K308*T308)/J308</f>
        <v>18002.891200000002</v>
      </c>
      <c r="V308" s="12">
        <f>(T308*L308)/J308</f>
        <v>360.18</v>
      </c>
      <c r="W308" s="79">
        <f t="shared" si="89"/>
        <v>77</v>
      </c>
      <c r="X308" s="66">
        <f t="shared" si="90"/>
        <v>60270.548800000004</v>
      </c>
      <c r="Y308" s="66">
        <f t="shared" si="91"/>
        <v>1205.82</v>
      </c>
      <c r="Z308" s="67">
        <f t="shared" si="92"/>
        <v>3.77</v>
      </c>
    </row>
    <row r="309" spans="1:26" x14ac:dyDescent="0.3">
      <c r="A309" s="85"/>
      <c r="B309" s="213" t="s">
        <v>626</v>
      </c>
      <c r="C309" s="87"/>
      <c r="D309" s="88"/>
      <c r="E309" s="89"/>
      <c r="F309" s="89">
        <v>30061000</v>
      </c>
      <c r="G309" s="89" t="s">
        <v>154</v>
      </c>
      <c r="H309" s="90">
        <v>4.2</v>
      </c>
      <c r="I309" s="89" t="s">
        <v>13</v>
      </c>
      <c r="J309" s="91">
        <v>100</v>
      </c>
      <c r="K309" s="90">
        <v>72639.59</v>
      </c>
      <c r="L309" s="90">
        <v>1453</v>
      </c>
      <c r="M309" s="89" t="s">
        <v>617</v>
      </c>
      <c r="N309" s="89" t="s">
        <v>618</v>
      </c>
      <c r="O309" s="88">
        <v>46254</v>
      </c>
      <c r="P309" s="89" t="s">
        <v>619</v>
      </c>
      <c r="Q309" s="89"/>
      <c r="R309" s="90">
        <v>4.2</v>
      </c>
      <c r="S309" s="89" t="s">
        <v>13</v>
      </c>
      <c r="T309" s="91">
        <v>100</v>
      </c>
      <c r="U309" s="90">
        <f>(K309*T309)/J309</f>
        <v>72639.59</v>
      </c>
      <c r="V309" s="90">
        <f>(T309*L309)/J309</f>
        <v>1453</v>
      </c>
      <c r="W309" s="79">
        <f>J309-T309</f>
        <v>0</v>
      </c>
      <c r="X309" s="66">
        <f>K309-U309</f>
        <v>0</v>
      </c>
      <c r="Y309" s="66">
        <f t="shared" ref="Y309:Y333" si="93">L309-V309</f>
        <v>0</v>
      </c>
      <c r="Z309" s="67">
        <f>H309-R309</f>
        <v>0</v>
      </c>
    </row>
    <row r="310" spans="1:26" x14ac:dyDescent="0.3">
      <c r="A310" s="64"/>
      <c r="B310" s="73" t="s">
        <v>627</v>
      </c>
      <c r="C310" s="15"/>
      <c r="D310" s="16"/>
      <c r="E310" s="11"/>
      <c r="F310" s="11">
        <v>30061000</v>
      </c>
      <c r="G310" s="11" t="s">
        <v>154</v>
      </c>
      <c r="H310" s="12">
        <v>4.2</v>
      </c>
      <c r="I310" s="11" t="s">
        <v>13</v>
      </c>
      <c r="J310" s="13">
        <v>100</v>
      </c>
      <c r="K310" s="12">
        <v>72639.59</v>
      </c>
      <c r="L310" s="12">
        <v>1453</v>
      </c>
      <c r="M310" s="11"/>
      <c r="N310" s="11"/>
      <c r="O310" s="11"/>
      <c r="P310" s="11"/>
      <c r="Q310" s="11"/>
      <c r="R310" s="12"/>
      <c r="S310" s="11"/>
      <c r="T310" s="13"/>
      <c r="U310" s="12"/>
      <c r="V310" s="12"/>
      <c r="W310" s="79">
        <f t="shared" ref="W310:W331" si="94">J310-T310</f>
        <v>100</v>
      </c>
      <c r="X310" s="66">
        <f t="shared" ref="X310:X331" si="95">K310-U310</f>
        <v>72639.59</v>
      </c>
      <c r="Y310" s="66">
        <f t="shared" si="93"/>
        <v>1453</v>
      </c>
      <c r="Z310" s="67">
        <f t="shared" ref="Z310:Z331" si="96">H310-R310</f>
        <v>4.2</v>
      </c>
    </row>
    <row r="311" spans="1:26" x14ac:dyDescent="0.3">
      <c r="A311" s="64"/>
      <c r="B311" s="73" t="s">
        <v>628</v>
      </c>
      <c r="C311" s="15"/>
      <c r="D311" s="16"/>
      <c r="E311" s="11"/>
      <c r="F311" s="11">
        <v>30061000</v>
      </c>
      <c r="G311" s="11" t="s">
        <v>154</v>
      </c>
      <c r="H311" s="12">
        <v>4.2</v>
      </c>
      <c r="I311" s="11" t="s">
        <v>13</v>
      </c>
      <c r="J311" s="13">
        <v>100</v>
      </c>
      <c r="K311" s="12">
        <v>71081.039999999994</v>
      </c>
      <c r="L311" s="12">
        <v>1422</v>
      </c>
      <c r="M311" s="11"/>
      <c r="N311" s="11"/>
      <c r="O311" s="11"/>
      <c r="P311" s="11"/>
      <c r="Q311" s="11"/>
      <c r="R311" s="12"/>
      <c r="S311" s="11"/>
      <c r="T311" s="13"/>
      <c r="U311" s="12"/>
      <c r="V311" s="12"/>
      <c r="W311" s="79">
        <f t="shared" si="94"/>
        <v>100</v>
      </c>
      <c r="X311" s="66">
        <f t="shared" si="95"/>
        <v>71081.039999999994</v>
      </c>
      <c r="Y311" s="66">
        <f t="shared" si="93"/>
        <v>1422</v>
      </c>
      <c r="Z311" s="67">
        <f t="shared" si="96"/>
        <v>4.2</v>
      </c>
    </row>
    <row r="312" spans="1:26" x14ac:dyDescent="0.3">
      <c r="A312" s="64"/>
      <c r="B312" s="10" t="s">
        <v>629</v>
      </c>
      <c r="C312" s="15"/>
      <c r="D312" s="16"/>
      <c r="E312" s="11"/>
      <c r="F312" s="11">
        <v>30061000</v>
      </c>
      <c r="G312" s="11" t="s">
        <v>154</v>
      </c>
      <c r="H312" s="12">
        <v>4</v>
      </c>
      <c r="I312" s="11" t="s">
        <v>13</v>
      </c>
      <c r="J312" s="13">
        <v>100</v>
      </c>
      <c r="K312" s="12">
        <v>70442.25</v>
      </c>
      <c r="L312" s="12">
        <v>1409</v>
      </c>
      <c r="M312" s="11"/>
      <c r="N312" s="11"/>
      <c r="O312" s="11"/>
      <c r="P312" s="11"/>
      <c r="Q312" s="11"/>
      <c r="R312" s="12"/>
      <c r="S312" s="11"/>
      <c r="T312" s="13"/>
      <c r="U312" s="12"/>
      <c r="V312" s="12"/>
      <c r="W312" s="79">
        <f t="shared" si="94"/>
        <v>100</v>
      </c>
      <c r="X312" s="66">
        <f t="shared" si="95"/>
        <v>70442.25</v>
      </c>
      <c r="Y312" s="66">
        <f t="shared" si="93"/>
        <v>1409</v>
      </c>
      <c r="Z312" s="67">
        <f t="shared" si="96"/>
        <v>4</v>
      </c>
    </row>
    <row r="313" spans="1:26" x14ac:dyDescent="0.3">
      <c r="A313" s="64"/>
      <c r="B313" s="73" t="s">
        <v>630</v>
      </c>
      <c r="C313" s="15"/>
      <c r="D313" s="16"/>
      <c r="E313" s="11"/>
      <c r="F313" s="11">
        <v>30061000</v>
      </c>
      <c r="G313" s="11" t="s">
        <v>154</v>
      </c>
      <c r="H313" s="12">
        <v>4</v>
      </c>
      <c r="I313" s="11" t="s">
        <v>13</v>
      </c>
      <c r="J313" s="13">
        <v>100</v>
      </c>
      <c r="K313" s="12">
        <v>70442.25</v>
      </c>
      <c r="L313" s="12">
        <v>1409</v>
      </c>
      <c r="M313" s="11"/>
      <c r="N313" s="11"/>
      <c r="O313" s="11"/>
      <c r="P313" s="11"/>
      <c r="Q313" s="11"/>
      <c r="R313" s="12"/>
      <c r="S313" s="11"/>
      <c r="T313" s="13"/>
      <c r="U313" s="12"/>
      <c r="V313" s="12"/>
      <c r="W313" s="79">
        <f t="shared" si="94"/>
        <v>100</v>
      </c>
      <c r="X313" s="66">
        <f t="shared" si="95"/>
        <v>70442.25</v>
      </c>
      <c r="Y313" s="66">
        <f t="shared" si="93"/>
        <v>1409</v>
      </c>
      <c r="Z313" s="67">
        <f t="shared" si="96"/>
        <v>4</v>
      </c>
    </row>
    <row r="314" spans="1:26" x14ac:dyDescent="0.3">
      <c r="A314" s="64"/>
      <c r="B314" s="73" t="s">
        <v>631</v>
      </c>
      <c r="C314" s="15"/>
      <c r="D314" s="16"/>
      <c r="E314" s="11"/>
      <c r="F314" s="11">
        <v>30061000</v>
      </c>
      <c r="G314" s="11" t="s">
        <v>154</v>
      </c>
      <c r="H314" s="12">
        <v>3.8</v>
      </c>
      <c r="I314" s="11" t="s">
        <v>13</v>
      </c>
      <c r="J314" s="13">
        <v>100</v>
      </c>
      <c r="K314" s="12">
        <v>63569.25</v>
      </c>
      <c r="L314" s="12">
        <v>1272</v>
      </c>
      <c r="M314" s="11"/>
      <c r="N314" s="11"/>
      <c r="O314" s="11"/>
      <c r="P314" s="11"/>
      <c r="Q314" s="11"/>
      <c r="R314" s="12"/>
      <c r="S314" s="11"/>
      <c r="T314" s="13"/>
      <c r="U314" s="12"/>
      <c r="V314" s="12"/>
      <c r="W314" s="79">
        <f t="shared" si="94"/>
        <v>100</v>
      </c>
      <c r="X314" s="66">
        <f t="shared" si="95"/>
        <v>63569.25</v>
      </c>
      <c r="Y314" s="66">
        <f t="shared" si="93"/>
        <v>1272</v>
      </c>
      <c r="Z314" s="67">
        <f t="shared" si="96"/>
        <v>3.8</v>
      </c>
    </row>
    <row r="315" spans="1:26" x14ac:dyDescent="0.3">
      <c r="A315" s="64"/>
      <c r="B315" s="10" t="s">
        <v>632</v>
      </c>
      <c r="C315" s="15"/>
      <c r="D315" s="16"/>
      <c r="E315" s="11"/>
      <c r="F315" s="11">
        <v>30061000</v>
      </c>
      <c r="G315" s="11" t="s">
        <v>154</v>
      </c>
      <c r="H315" s="12">
        <v>3.7</v>
      </c>
      <c r="I315" s="11" t="s">
        <v>13</v>
      </c>
      <c r="J315" s="13">
        <v>100</v>
      </c>
      <c r="K315" s="12">
        <v>55457.11</v>
      </c>
      <c r="L315" s="12">
        <v>1110</v>
      </c>
      <c r="M315" s="11"/>
      <c r="N315" s="11"/>
      <c r="O315" s="11"/>
      <c r="P315" s="11"/>
      <c r="Q315" s="11"/>
      <c r="R315" s="12"/>
      <c r="S315" s="11"/>
      <c r="T315" s="13"/>
      <c r="U315" s="12"/>
      <c r="V315" s="12"/>
      <c r="W315" s="79">
        <f t="shared" si="94"/>
        <v>100</v>
      </c>
      <c r="X315" s="66">
        <f t="shared" si="95"/>
        <v>55457.11</v>
      </c>
      <c r="Y315" s="66">
        <f t="shared" si="93"/>
        <v>1110</v>
      </c>
      <c r="Z315" s="67">
        <f t="shared" si="96"/>
        <v>3.7</v>
      </c>
    </row>
    <row r="316" spans="1:26" x14ac:dyDescent="0.3">
      <c r="A316" s="64"/>
      <c r="B316" s="73" t="s">
        <v>633</v>
      </c>
      <c r="C316" s="15"/>
      <c r="D316" s="16"/>
      <c r="E316" s="11"/>
      <c r="F316" s="11">
        <v>30061000</v>
      </c>
      <c r="G316" s="11" t="s">
        <v>154</v>
      </c>
      <c r="H316" s="12">
        <v>3.6</v>
      </c>
      <c r="I316" s="11" t="s">
        <v>13</v>
      </c>
      <c r="J316" s="13">
        <v>100</v>
      </c>
      <c r="K316" s="12">
        <v>58254.81</v>
      </c>
      <c r="L316" s="12">
        <v>1166</v>
      </c>
      <c r="M316" s="11"/>
      <c r="N316" s="11"/>
      <c r="O316" s="11"/>
      <c r="P316" s="11"/>
      <c r="Q316" s="11"/>
      <c r="R316" s="12"/>
      <c r="S316" s="11"/>
      <c r="T316" s="13"/>
      <c r="U316" s="12"/>
      <c r="V316" s="12"/>
      <c r="W316" s="79">
        <f t="shared" si="94"/>
        <v>100</v>
      </c>
      <c r="X316" s="66">
        <f t="shared" si="95"/>
        <v>58254.81</v>
      </c>
      <c r="Y316" s="66">
        <f t="shared" si="93"/>
        <v>1166</v>
      </c>
      <c r="Z316" s="67">
        <f t="shared" si="96"/>
        <v>3.6</v>
      </c>
    </row>
    <row r="317" spans="1:26" x14ac:dyDescent="0.3">
      <c r="A317" s="64"/>
      <c r="B317" s="73" t="s">
        <v>634</v>
      </c>
      <c r="C317" s="15"/>
      <c r="D317" s="16"/>
      <c r="E317" s="11"/>
      <c r="F317" s="11">
        <v>30061000</v>
      </c>
      <c r="G317" s="11" t="s">
        <v>154</v>
      </c>
      <c r="H317" s="12">
        <v>3.5</v>
      </c>
      <c r="I317" s="11" t="s">
        <v>13</v>
      </c>
      <c r="J317" s="13">
        <v>100</v>
      </c>
      <c r="K317" s="12">
        <v>59493.96</v>
      </c>
      <c r="L317" s="12">
        <v>1190</v>
      </c>
      <c r="M317" s="11"/>
      <c r="N317" s="11"/>
      <c r="O317" s="11"/>
      <c r="P317" s="11"/>
      <c r="Q317" s="11"/>
      <c r="R317" s="12"/>
      <c r="S317" s="11"/>
      <c r="T317" s="13"/>
      <c r="U317" s="12"/>
      <c r="V317" s="12"/>
      <c r="W317" s="79">
        <f t="shared" si="94"/>
        <v>100</v>
      </c>
      <c r="X317" s="66">
        <f t="shared" si="95"/>
        <v>59493.96</v>
      </c>
      <c r="Y317" s="66">
        <f t="shared" si="93"/>
        <v>1190</v>
      </c>
      <c r="Z317" s="67">
        <f t="shared" si="96"/>
        <v>3.5</v>
      </c>
    </row>
    <row r="318" spans="1:26" x14ac:dyDescent="0.3">
      <c r="A318" s="64"/>
      <c r="B318" s="73" t="s">
        <v>635</v>
      </c>
      <c r="C318" s="15"/>
      <c r="D318" s="16"/>
      <c r="E318" s="11"/>
      <c r="F318" s="11">
        <v>30061000</v>
      </c>
      <c r="G318" s="11" t="s">
        <v>154</v>
      </c>
      <c r="H318" s="12">
        <v>3.4</v>
      </c>
      <c r="I318" s="11" t="s">
        <v>13</v>
      </c>
      <c r="J318" s="13">
        <v>100</v>
      </c>
      <c r="K318" s="12">
        <v>59174.559999999998</v>
      </c>
      <c r="L318" s="12">
        <v>1184</v>
      </c>
      <c r="M318" s="11"/>
      <c r="N318" s="11"/>
      <c r="O318" s="11"/>
      <c r="P318" s="11"/>
      <c r="Q318" s="11"/>
      <c r="R318" s="12"/>
      <c r="S318" s="11"/>
      <c r="T318" s="13"/>
      <c r="U318" s="12"/>
      <c r="V318" s="12"/>
      <c r="W318" s="79">
        <f t="shared" si="94"/>
        <v>100</v>
      </c>
      <c r="X318" s="66">
        <f t="shared" si="95"/>
        <v>59174.559999999998</v>
      </c>
      <c r="Y318" s="66">
        <f t="shared" si="93"/>
        <v>1184</v>
      </c>
      <c r="Z318" s="67">
        <f t="shared" si="96"/>
        <v>3.4</v>
      </c>
    </row>
    <row r="319" spans="1:26" x14ac:dyDescent="0.3">
      <c r="A319" s="64"/>
      <c r="B319" s="73" t="s">
        <v>636</v>
      </c>
      <c r="C319" s="15"/>
      <c r="D319" s="16"/>
      <c r="E319" s="11"/>
      <c r="F319" s="11">
        <v>30061000</v>
      </c>
      <c r="G319" s="11" t="s">
        <v>154</v>
      </c>
      <c r="H319" s="12">
        <v>3.6</v>
      </c>
      <c r="I319" s="11" t="s">
        <v>13</v>
      </c>
      <c r="J319" s="13">
        <v>100</v>
      </c>
      <c r="K319" s="12">
        <v>59813.36</v>
      </c>
      <c r="L319" s="12">
        <v>1197</v>
      </c>
      <c r="M319" s="11"/>
      <c r="N319" s="11"/>
      <c r="O319" s="11"/>
      <c r="P319" s="11"/>
      <c r="Q319" s="11"/>
      <c r="R319" s="12"/>
      <c r="S319" s="11"/>
      <c r="T319" s="13"/>
      <c r="U319" s="12"/>
      <c r="V319" s="12"/>
      <c r="W319" s="79">
        <f t="shared" si="94"/>
        <v>100</v>
      </c>
      <c r="X319" s="66">
        <f t="shared" si="95"/>
        <v>59813.36</v>
      </c>
      <c r="Y319" s="66">
        <f t="shared" si="93"/>
        <v>1197</v>
      </c>
      <c r="Z319" s="67">
        <f t="shared" si="96"/>
        <v>3.6</v>
      </c>
    </row>
    <row r="320" spans="1:26" x14ac:dyDescent="0.3">
      <c r="A320" s="64"/>
      <c r="B320" s="73" t="s">
        <v>637</v>
      </c>
      <c r="C320" s="15"/>
      <c r="D320" s="16"/>
      <c r="E320" s="11"/>
      <c r="F320" s="11">
        <v>30061000</v>
      </c>
      <c r="G320" s="11" t="s">
        <v>154</v>
      </c>
      <c r="H320" s="12">
        <v>3.2</v>
      </c>
      <c r="I320" s="11" t="s">
        <v>13</v>
      </c>
      <c r="J320" s="13">
        <v>100</v>
      </c>
      <c r="K320" s="12">
        <v>55418.67</v>
      </c>
      <c r="L320" s="12">
        <v>1109</v>
      </c>
      <c r="M320" s="11"/>
      <c r="N320" s="11"/>
      <c r="O320" s="11"/>
      <c r="P320" s="11"/>
      <c r="Q320" s="11"/>
      <c r="R320" s="12"/>
      <c r="S320" s="11"/>
      <c r="T320" s="13"/>
      <c r="U320" s="12"/>
      <c r="V320" s="12"/>
      <c r="W320" s="79">
        <f t="shared" si="94"/>
        <v>100</v>
      </c>
      <c r="X320" s="66">
        <f t="shared" si="95"/>
        <v>55418.67</v>
      </c>
      <c r="Y320" s="66">
        <f t="shared" si="93"/>
        <v>1109</v>
      </c>
      <c r="Z320" s="67">
        <f t="shared" si="96"/>
        <v>3.2</v>
      </c>
    </row>
    <row r="321" spans="1:26" x14ac:dyDescent="0.3">
      <c r="A321" s="64"/>
      <c r="B321" s="73" t="s">
        <v>638</v>
      </c>
      <c r="C321" s="15"/>
      <c r="D321" s="16"/>
      <c r="E321" s="11"/>
      <c r="F321" s="11">
        <v>30061000</v>
      </c>
      <c r="G321" s="11" t="s">
        <v>154</v>
      </c>
      <c r="H321" s="12">
        <v>3.2</v>
      </c>
      <c r="I321" s="11" t="s">
        <v>13</v>
      </c>
      <c r="J321" s="13">
        <v>100</v>
      </c>
      <c r="K321" s="12">
        <v>55418.67</v>
      </c>
      <c r="L321" s="12">
        <v>1109</v>
      </c>
      <c r="M321" s="11"/>
      <c r="N321" s="11"/>
      <c r="O321" s="11"/>
      <c r="P321" s="11"/>
      <c r="Q321" s="11"/>
      <c r="R321" s="12"/>
      <c r="S321" s="11"/>
      <c r="T321" s="13"/>
      <c r="U321" s="12"/>
      <c r="V321" s="12"/>
      <c r="W321" s="79">
        <f t="shared" si="94"/>
        <v>100</v>
      </c>
      <c r="X321" s="66">
        <f t="shared" si="95"/>
        <v>55418.67</v>
      </c>
      <c r="Y321" s="66">
        <f t="shared" si="93"/>
        <v>1109</v>
      </c>
      <c r="Z321" s="67">
        <f t="shared" si="96"/>
        <v>3.2</v>
      </c>
    </row>
    <row r="322" spans="1:26" x14ac:dyDescent="0.3">
      <c r="A322" s="64"/>
      <c r="B322" s="73" t="s">
        <v>639</v>
      </c>
      <c r="C322" s="15"/>
      <c r="D322" s="16"/>
      <c r="E322" s="11"/>
      <c r="F322" s="11">
        <v>30061000</v>
      </c>
      <c r="G322" s="11" t="s">
        <v>154</v>
      </c>
      <c r="H322" s="12">
        <v>3.5</v>
      </c>
      <c r="I322" s="11" t="s">
        <v>13</v>
      </c>
      <c r="J322" s="13">
        <v>100</v>
      </c>
      <c r="K322" s="12">
        <v>56376.86</v>
      </c>
      <c r="L322" s="12">
        <v>1128</v>
      </c>
      <c r="M322" s="11"/>
      <c r="N322" s="11"/>
      <c r="O322" s="11"/>
      <c r="P322" s="11"/>
      <c r="Q322" s="11"/>
      <c r="R322" s="12"/>
      <c r="S322" s="11"/>
      <c r="T322" s="13"/>
      <c r="U322" s="12"/>
      <c r="V322" s="12"/>
      <c r="W322" s="79">
        <f t="shared" si="94"/>
        <v>100</v>
      </c>
      <c r="X322" s="66">
        <f t="shared" si="95"/>
        <v>56376.86</v>
      </c>
      <c r="Y322" s="66">
        <f t="shared" si="93"/>
        <v>1128</v>
      </c>
      <c r="Z322" s="67">
        <f t="shared" si="96"/>
        <v>3.5</v>
      </c>
    </row>
    <row r="323" spans="1:26" x14ac:dyDescent="0.3">
      <c r="A323" s="64"/>
      <c r="B323" s="73" t="s">
        <v>640</v>
      </c>
      <c r="C323" s="15"/>
      <c r="D323" s="16"/>
      <c r="E323" s="11"/>
      <c r="F323" s="11">
        <v>30061000</v>
      </c>
      <c r="G323" s="11" t="s">
        <v>154</v>
      </c>
      <c r="H323" s="12">
        <v>3.2</v>
      </c>
      <c r="I323" s="11" t="s">
        <v>13</v>
      </c>
      <c r="J323" s="13">
        <v>100</v>
      </c>
      <c r="K323" s="12">
        <v>53860.12</v>
      </c>
      <c r="L323" s="12">
        <v>1078</v>
      </c>
      <c r="M323" s="11"/>
      <c r="N323" s="11"/>
      <c r="O323" s="11"/>
      <c r="P323" s="11"/>
      <c r="Q323" s="11"/>
      <c r="R323" s="12"/>
      <c r="S323" s="11"/>
      <c r="T323" s="13"/>
      <c r="U323" s="12"/>
      <c r="V323" s="12"/>
      <c r="W323" s="79">
        <f t="shared" si="94"/>
        <v>100</v>
      </c>
      <c r="X323" s="66">
        <f t="shared" si="95"/>
        <v>53860.12</v>
      </c>
      <c r="Y323" s="66">
        <f t="shared" si="93"/>
        <v>1078</v>
      </c>
      <c r="Z323" s="67">
        <f t="shared" si="96"/>
        <v>3.2</v>
      </c>
    </row>
    <row r="324" spans="1:26" x14ac:dyDescent="0.3">
      <c r="A324" s="64"/>
      <c r="B324" s="73" t="s">
        <v>641</v>
      </c>
      <c r="C324" s="15"/>
      <c r="D324" s="16"/>
      <c r="E324" s="11"/>
      <c r="F324" s="11">
        <v>30061000</v>
      </c>
      <c r="G324" s="11" t="s">
        <v>154</v>
      </c>
      <c r="H324" s="12">
        <v>3.7</v>
      </c>
      <c r="I324" s="11" t="s">
        <v>13</v>
      </c>
      <c r="J324" s="13">
        <v>100</v>
      </c>
      <c r="K324" s="12">
        <v>57015.66</v>
      </c>
      <c r="L324" s="12">
        <v>1141</v>
      </c>
      <c r="M324" s="11"/>
      <c r="N324" s="11"/>
      <c r="O324" s="11"/>
      <c r="P324" s="11"/>
      <c r="Q324" s="11"/>
      <c r="R324" s="12"/>
      <c r="S324" s="11"/>
      <c r="T324" s="13"/>
      <c r="U324" s="12"/>
      <c r="V324" s="12"/>
      <c r="W324" s="79">
        <f t="shared" si="94"/>
        <v>100</v>
      </c>
      <c r="X324" s="66">
        <f t="shared" si="95"/>
        <v>57015.66</v>
      </c>
      <c r="Y324" s="66">
        <f t="shared" si="93"/>
        <v>1141</v>
      </c>
      <c r="Z324" s="67">
        <f t="shared" si="96"/>
        <v>3.7</v>
      </c>
    </row>
    <row r="325" spans="1:26" x14ac:dyDescent="0.3">
      <c r="A325" s="64"/>
      <c r="B325" s="73" t="s">
        <v>642</v>
      </c>
      <c r="C325" s="15"/>
      <c r="D325" s="16"/>
      <c r="E325" s="11"/>
      <c r="F325" s="11">
        <v>30061000</v>
      </c>
      <c r="G325" s="11" t="s">
        <v>154</v>
      </c>
      <c r="H325" s="12">
        <v>3.5</v>
      </c>
      <c r="I325" s="11" t="s">
        <v>13</v>
      </c>
      <c r="J325" s="13">
        <v>100</v>
      </c>
      <c r="K325" s="12">
        <v>56376.86</v>
      </c>
      <c r="L325" s="12">
        <v>1128</v>
      </c>
      <c r="M325" s="11"/>
      <c r="N325" s="11"/>
      <c r="O325" s="11"/>
      <c r="P325" s="11"/>
      <c r="Q325" s="11"/>
      <c r="R325" s="12"/>
      <c r="S325" s="11"/>
      <c r="T325" s="13"/>
      <c r="U325" s="12"/>
      <c r="V325" s="12"/>
      <c r="W325" s="79">
        <f t="shared" si="94"/>
        <v>100</v>
      </c>
      <c r="X325" s="66">
        <f t="shared" si="95"/>
        <v>56376.86</v>
      </c>
      <c r="Y325" s="66">
        <f t="shared" si="93"/>
        <v>1128</v>
      </c>
      <c r="Z325" s="67">
        <f t="shared" si="96"/>
        <v>3.5</v>
      </c>
    </row>
    <row r="326" spans="1:26" x14ac:dyDescent="0.3">
      <c r="A326" s="64"/>
      <c r="B326" s="73" t="s">
        <v>643</v>
      </c>
      <c r="C326" s="15"/>
      <c r="D326" s="16"/>
      <c r="E326" s="11"/>
      <c r="F326" s="11">
        <v>30061000</v>
      </c>
      <c r="G326" s="11" t="s">
        <v>154</v>
      </c>
      <c r="H326" s="12">
        <v>4.9000000000000004</v>
      </c>
      <c r="I326" s="11" t="s">
        <v>13</v>
      </c>
      <c r="J326" s="13">
        <v>100</v>
      </c>
      <c r="K326" s="12">
        <v>82668.12</v>
      </c>
      <c r="L326" s="12">
        <v>1654</v>
      </c>
      <c r="M326" s="11"/>
      <c r="N326" s="11"/>
      <c r="O326" s="11"/>
      <c r="P326" s="11"/>
      <c r="Q326" s="11"/>
      <c r="R326" s="12"/>
      <c r="S326" s="11"/>
      <c r="T326" s="13"/>
      <c r="U326" s="12"/>
      <c r="V326" s="12"/>
      <c r="W326" s="79">
        <f t="shared" si="94"/>
        <v>100</v>
      </c>
      <c r="X326" s="66">
        <f t="shared" si="95"/>
        <v>82668.12</v>
      </c>
      <c r="Y326" s="66">
        <f t="shared" si="93"/>
        <v>1654</v>
      </c>
      <c r="Z326" s="67">
        <f t="shared" si="96"/>
        <v>4.9000000000000004</v>
      </c>
    </row>
    <row r="327" spans="1:26" x14ac:dyDescent="0.3">
      <c r="A327" s="64"/>
      <c r="B327" s="73" t="s">
        <v>644</v>
      </c>
      <c r="C327" s="15"/>
      <c r="D327" s="16"/>
      <c r="E327" s="11"/>
      <c r="F327" s="11">
        <v>30061000</v>
      </c>
      <c r="G327" s="11" t="s">
        <v>154</v>
      </c>
      <c r="H327" s="12">
        <v>4.9000000000000004</v>
      </c>
      <c r="I327" s="11" t="s">
        <v>13</v>
      </c>
      <c r="J327" s="13">
        <v>100</v>
      </c>
      <c r="K327" s="12">
        <v>85785.22</v>
      </c>
      <c r="L327" s="12">
        <v>1716</v>
      </c>
      <c r="M327" s="11"/>
      <c r="N327" s="11"/>
      <c r="O327" s="11"/>
      <c r="P327" s="11"/>
      <c r="Q327" s="11"/>
      <c r="R327" s="12"/>
      <c r="S327" s="11"/>
      <c r="T327" s="13"/>
      <c r="U327" s="12"/>
      <c r="V327" s="12"/>
      <c r="W327" s="79">
        <f t="shared" si="94"/>
        <v>100</v>
      </c>
      <c r="X327" s="66">
        <f t="shared" si="95"/>
        <v>85785.22</v>
      </c>
      <c r="Y327" s="66">
        <f t="shared" si="93"/>
        <v>1716</v>
      </c>
      <c r="Z327" s="67">
        <f t="shared" si="96"/>
        <v>4.9000000000000004</v>
      </c>
    </row>
    <row r="328" spans="1:26" x14ac:dyDescent="0.3">
      <c r="A328" s="64"/>
      <c r="B328" s="73" t="s">
        <v>645</v>
      </c>
      <c r="C328" s="15"/>
      <c r="D328" s="16"/>
      <c r="E328" s="11"/>
      <c r="F328" s="11">
        <v>30061000</v>
      </c>
      <c r="G328" s="11" t="s">
        <v>154</v>
      </c>
      <c r="H328" s="12">
        <v>3.4</v>
      </c>
      <c r="I328" s="11" t="s">
        <v>13</v>
      </c>
      <c r="J328" s="13">
        <v>100</v>
      </c>
      <c r="K328" s="12">
        <v>60733.11</v>
      </c>
      <c r="L328" s="12">
        <v>1215</v>
      </c>
      <c r="M328" s="11"/>
      <c r="N328" s="11"/>
      <c r="O328" s="11"/>
      <c r="P328" s="11"/>
      <c r="Q328" s="11"/>
      <c r="R328" s="12"/>
      <c r="S328" s="11"/>
      <c r="T328" s="13"/>
      <c r="U328" s="12"/>
      <c r="V328" s="12"/>
      <c r="W328" s="79">
        <f t="shared" si="94"/>
        <v>100</v>
      </c>
      <c r="X328" s="66">
        <f t="shared" si="95"/>
        <v>60733.11</v>
      </c>
      <c r="Y328" s="66">
        <f t="shared" si="93"/>
        <v>1215</v>
      </c>
      <c r="Z328" s="67">
        <f t="shared" si="96"/>
        <v>3.4</v>
      </c>
    </row>
    <row r="329" spans="1:26" x14ac:dyDescent="0.3">
      <c r="A329" s="64"/>
      <c r="B329" s="73" t="s">
        <v>646</v>
      </c>
      <c r="C329" s="15"/>
      <c r="D329" s="16"/>
      <c r="E329" s="11"/>
      <c r="F329" s="11">
        <v>30061000</v>
      </c>
      <c r="G329" s="11" t="s">
        <v>154</v>
      </c>
      <c r="H329" s="12">
        <v>5</v>
      </c>
      <c r="I329" s="11" t="s">
        <v>13</v>
      </c>
      <c r="J329" s="13">
        <v>100</v>
      </c>
      <c r="K329" s="12">
        <v>81428.97</v>
      </c>
      <c r="L329" s="12">
        <v>1629</v>
      </c>
      <c r="M329" s="11" t="s">
        <v>201</v>
      </c>
      <c r="N329" s="11" t="s">
        <v>202</v>
      </c>
      <c r="O329" s="16">
        <v>46220</v>
      </c>
      <c r="P329" s="11" t="s">
        <v>610</v>
      </c>
      <c r="Q329" s="11"/>
      <c r="R329" s="12">
        <v>3</v>
      </c>
      <c r="S329" s="11" t="s">
        <v>13</v>
      </c>
      <c r="T329" s="13">
        <v>30</v>
      </c>
      <c r="U329" s="12">
        <f>(K329*T329)/J329</f>
        <v>24428.691000000003</v>
      </c>
      <c r="V329" s="12">
        <f>(T329*L329)/J329</f>
        <v>488.7</v>
      </c>
      <c r="W329" s="79">
        <f t="shared" si="94"/>
        <v>70</v>
      </c>
      <c r="X329" s="66">
        <f t="shared" si="95"/>
        <v>57000.278999999995</v>
      </c>
      <c r="Y329" s="66">
        <f t="shared" si="93"/>
        <v>1140.3</v>
      </c>
      <c r="Z329" s="67">
        <f t="shared" si="96"/>
        <v>2</v>
      </c>
    </row>
    <row r="330" spans="1:26" x14ac:dyDescent="0.3">
      <c r="A330" s="64"/>
      <c r="B330" s="73" t="s">
        <v>647</v>
      </c>
      <c r="C330" s="15"/>
      <c r="D330" s="16"/>
      <c r="E330" s="11"/>
      <c r="F330" s="11">
        <v>30061000</v>
      </c>
      <c r="G330" s="11" t="s">
        <v>154</v>
      </c>
      <c r="H330" s="12">
        <v>4.4000000000000004</v>
      </c>
      <c r="I330" s="11" t="s">
        <v>13</v>
      </c>
      <c r="J330" s="13">
        <v>100</v>
      </c>
      <c r="K330" s="12">
        <v>76395.48</v>
      </c>
      <c r="L330" s="12">
        <v>1528</v>
      </c>
      <c r="M330" s="11"/>
      <c r="N330" s="11"/>
      <c r="O330" s="11"/>
      <c r="P330" s="11"/>
      <c r="Q330" s="11"/>
      <c r="R330" s="12"/>
      <c r="S330" s="11"/>
      <c r="T330" s="13"/>
      <c r="U330" s="12"/>
      <c r="V330" s="12"/>
      <c r="W330" s="79">
        <f t="shared" si="94"/>
        <v>100</v>
      </c>
      <c r="X330" s="66">
        <f t="shared" si="95"/>
        <v>76395.48</v>
      </c>
      <c r="Y330" s="66">
        <f t="shared" si="93"/>
        <v>1528</v>
      </c>
      <c r="Z330" s="67">
        <f t="shared" si="96"/>
        <v>4.4000000000000004</v>
      </c>
    </row>
    <row r="331" spans="1:26" x14ac:dyDescent="0.3">
      <c r="A331" s="64"/>
      <c r="B331" s="73" t="s">
        <v>648</v>
      </c>
      <c r="C331" s="15"/>
      <c r="D331" s="16"/>
      <c r="E331" s="11"/>
      <c r="F331" s="11">
        <v>30061000</v>
      </c>
      <c r="G331" s="11" t="s">
        <v>154</v>
      </c>
      <c r="H331" s="12">
        <v>3</v>
      </c>
      <c r="I331" s="11" t="s">
        <v>13</v>
      </c>
      <c r="J331" s="13">
        <v>100</v>
      </c>
      <c r="K331" s="12">
        <v>51662.78</v>
      </c>
      <c r="L331" s="12">
        <v>1034</v>
      </c>
      <c r="M331" s="11"/>
      <c r="N331" s="11"/>
      <c r="O331" s="11"/>
      <c r="P331" s="11"/>
      <c r="Q331" s="11"/>
      <c r="R331" s="12"/>
      <c r="S331" s="11"/>
      <c r="T331" s="13"/>
      <c r="U331" s="12"/>
      <c r="V331" s="12"/>
      <c r="W331" s="79">
        <f t="shared" si="94"/>
        <v>100</v>
      </c>
      <c r="X331" s="66">
        <f t="shared" si="95"/>
        <v>51662.78</v>
      </c>
      <c r="Y331" s="66">
        <f t="shared" si="93"/>
        <v>1034</v>
      </c>
      <c r="Z331" s="67">
        <f t="shared" si="96"/>
        <v>3</v>
      </c>
    </row>
    <row r="332" spans="1:26" x14ac:dyDescent="0.3">
      <c r="A332" s="1"/>
      <c r="B332" s="10"/>
      <c r="C332" s="11"/>
      <c r="D332" s="11"/>
      <c r="E332" s="11"/>
      <c r="F332" s="11"/>
      <c r="G332" s="11"/>
      <c r="H332" s="12"/>
      <c r="I332" s="11"/>
      <c r="J332" s="13"/>
      <c r="K332" s="12"/>
      <c r="L332" s="12"/>
      <c r="M332" s="11"/>
      <c r="N332" s="11"/>
      <c r="O332" s="11"/>
      <c r="P332" s="11"/>
      <c r="Q332" s="11"/>
      <c r="R332" s="12"/>
      <c r="S332" s="11"/>
      <c r="T332" s="13"/>
      <c r="U332" s="12"/>
      <c r="V332" s="12"/>
      <c r="W332" s="134"/>
      <c r="X332" s="68"/>
      <c r="Y332" s="150"/>
      <c r="Z332" s="109"/>
    </row>
    <row r="333" spans="1:26" x14ac:dyDescent="0.3">
      <c r="A333" s="1" t="s">
        <v>649</v>
      </c>
      <c r="B333" s="10" t="s">
        <v>650</v>
      </c>
      <c r="C333" s="141" t="s">
        <v>651</v>
      </c>
      <c r="D333" s="16">
        <v>46120</v>
      </c>
      <c r="E333" s="11" t="s">
        <v>652</v>
      </c>
      <c r="F333" s="11">
        <v>30049000</v>
      </c>
      <c r="G333" s="11" t="s">
        <v>653</v>
      </c>
      <c r="H333" s="12">
        <v>640</v>
      </c>
      <c r="I333" s="11" t="s">
        <v>13</v>
      </c>
      <c r="J333" s="13">
        <v>100</v>
      </c>
      <c r="K333" s="12">
        <v>855040.99</v>
      </c>
      <c r="L333" s="12">
        <v>17351</v>
      </c>
      <c r="M333" s="11"/>
      <c r="N333" s="11"/>
      <c r="O333" s="11"/>
      <c r="P333" s="11"/>
      <c r="Q333" s="11"/>
      <c r="R333" s="12"/>
      <c r="S333" s="11"/>
      <c r="T333" s="13"/>
      <c r="U333" s="12"/>
      <c r="V333" s="12"/>
      <c r="W333" s="79">
        <v>100</v>
      </c>
      <c r="X333" s="66">
        <v>855040.99</v>
      </c>
      <c r="Y333" s="66">
        <f t="shared" si="93"/>
        <v>17351</v>
      </c>
      <c r="Z333" s="119">
        <v>640</v>
      </c>
    </row>
    <row r="334" spans="1:26" x14ac:dyDescent="0.3">
      <c r="A334" s="1"/>
      <c r="B334" s="10"/>
      <c r="C334" s="11"/>
      <c r="D334" s="11"/>
      <c r="E334" s="11"/>
      <c r="F334" s="11"/>
      <c r="G334" s="11"/>
      <c r="H334" s="12"/>
      <c r="I334" s="11"/>
      <c r="J334" s="13"/>
      <c r="K334" s="12"/>
      <c r="L334" s="12"/>
      <c r="M334" s="11"/>
      <c r="N334" s="11"/>
      <c r="O334" s="11"/>
      <c r="P334" s="11"/>
      <c r="Q334" s="11"/>
      <c r="R334" s="12"/>
      <c r="S334" s="11"/>
      <c r="T334" s="13"/>
      <c r="U334" s="12"/>
      <c r="V334" s="12"/>
      <c r="W334" s="134"/>
      <c r="X334" s="68"/>
      <c r="Y334" s="150"/>
      <c r="Z334" s="109"/>
    </row>
    <row r="335" spans="1:26" x14ac:dyDescent="0.3">
      <c r="A335" s="1" t="s">
        <v>654</v>
      </c>
      <c r="B335" s="145" t="s">
        <v>655</v>
      </c>
      <c r="C335" s="15" t="s">
        <v>656</v>
      </c>
      <c r="D335" s="16">
        <v>46121</v>
      </c>
      <c r="E335" s="146" t="s">
        <v>657</v>
      </c>
      <c r="F335" s="11">
        <v>30049000</v>
      </c>
      <c r="G335" s="11" t="s">
        <v>12</v>
      </c>
      <c r="H335" s="12">
        <v>2905.6</v>
      </c>
      <c r="I335" s="11" t="s">
        <v>13</v>
      </c>
      <c r="J335" s="13">
        <v>19068</v>
      </c>
      <c r="K335" s="12">
        <v>1247481.53</v>
      </c>
      <c r="L335" s="12">
        <v>25588</v>
      </c>
      <c r="M335" s="11"/>
      <c r="N335" s="11"/>
      <c r="O335" s="11"/>
      <c r="P335" s="11"/>
      <c r="Q335" s="11"/>
      <c r="R335" s="12"/>
      <c r="S335" s="11"/>
      <c r="T335" s="13"/>
      <c r="U335" s="12"/>
      <c r="V335" s="12"/>
      <c r="W335" s="79">
        <f t="shared" ref="W335" si="97">J335-T335</f>
        <v>19068</v>
      </c>
      <c r="X335" s="66">
        <f t="shared" ref="X335" si="98">K335-U335</f>
        <v>1247481.53</v>
      </c>
      <c r="Y335" s="66">
        <f t="shared" ref="Y335" si="99">L335-V335</f>
        <v>25588</v>
      </c>
      <c r="Z335" s="67">
        <f>H335-R335</f>
        <v>2905.6</v>
      </c>
    </row>
    <row r="336" spans="1:26" x14ac:dyDescent="0.3">
      <c r="A336" s="1"/>
      <c r="B336" s="10"/>
      <c r="C336" s="11"/>
      <c r="D336" s="11"/>
      <c r="E336" s="11"/>
      <c r="F336" s="11"/>
      <c r="G336" s="11"/>
      <c r="H336" s="12"/>
      <c r="I336" s="11"/>
      <c r="J336" s="13"/>
      <c r="K336" s="12"/>
      <c r="L336" s="12"/>
      <c r="M336" s="11"/>
      <c r="N336" s="11"/>
      <c r="O336" s="11"/>
      <c r="P336" s="11"/>
      <c r="Q336" s="11"/>
      <c r="R336" s="12"/>
      <c r="S336" s="11"/>
      <c r="T336" s="13"/>
      <c r="U336" s="12"/>
      <c r="V336" s="12"/>
      <c r="W336" s="134"/>
      <c r="X336" s="68"/>
      <c r="Y336" s="150"/>
      <c r="Z336" s="109"/>
    </row>
    <row r="337" spans="1:26" x14ac:dyDescent="0.3">
      <c r="A337" s="1" t="s">
        <v>658</v>
      </c>
      <c r="B337" s="14" t="s">
        <v>659</v>
      </c>
      <c r="C337" s="15" t="s">
        <v>660</v>
      </c>
      <c r="D337" s="16">
        <v>46121</v>
      </c>
      <c r="E337" s="11" t="s">
        <v>661</v>
      </c>
      <c r="F337" s="11">
        <v>30049000</v>
      </c>
      <c r="G337" s="11" t="s">
        <v>12</v>
      </c>
      <c r="H337" s="12">
        <v>1350</v>
      </c>
      <c r="I337" s="11" t="s">
        <v>13</v>
      </c>
      <c r="J337" s="13">
        <v>10000</v>
      </c>
      <c r="K337" s="12">
        <v>1207971.8899999999</v>
      </c>
      <c r="L337" s="12">
        <v>24467</v>
      </c>
      <c r="M337" s="11" t="s">
        <v>565</v>
      </c>
      <c r="N337" s="11" t="s">
        <v>566</v>
      </c>
      <c r="O337" s="16">
        <v>46261</v>
      </c>
      <c r="P337" s="11" t="s">
        <v>662</v>
      </c>
      <c r="Q337" s="11"/>
      <c r="R337" s="12">
        <v>135</v>
      </c>
      <c r="S337" s="11" t="s">
        <v>13</v>
      </c>
      <c r="T337" s="13">
        <v>1000</v>
      </c>
      <c r="U337" s="12">
        <f>(K337*T337)/J337</f>
        <v>120797.189</v>
      </c>
      <c r="V337" s="12">
        <f>(T337*L337)/J337</f>
        <v>2446.6999999999998</v>
      </c>
      <c r="W337" s="79">
        <f t="shared" ref="W337" si="100">J337-T337</f>
        <v>9000</v>
      </c>
      <c r="X337" s="66">
        <f t="shared" ref="X337" si="101">K337-U337</f>
        <v>1087174.7009999999</v>
      </c>
      <c r="Y337" s="66">
        <f t="shared" ref="Y337" si="102">L337-V337</f>
        <v>22020.3</v>
      </c>
      <c r="Z337" s="67">
        <f>H337-R337</f>
        <v>1215</v>
      </c>
    </row>
    <row r="338" spans="1:26" x14ac:dyDescent="0.3">
      <c r="A338" s="1"/>
      <c r="B338" s="10"/>
      <c r="C338" s="11"/>
      <c r="D338" s="11"/>
      <c r="E338" s="11"/>
      <c r="F338" s="11"/>
      <c r="G338" s="11"/>
      <c r="H338" s="12"/>
      <c r="I338" s="11"/>
      <c r="J338" s="13"/>
      <c r="K338" s="12"/>
      <c r="L338" s="12"/>
      <c r="M338" s="11"/>
      <c r="N338" s="11"/>
      <c r="O338" s="11"/>
      <c r="P338" s="11"/>
      <c r="Q338" s="11"/>
      <c r="R338" s="12"/>
      <c r="S338" s="11"/>
      <c r="T338" s="13"/>
      <c r="U338" s="12"/>
      <c r="V338" s="12"/>
      <c r="W338" s="134"/>
      <c r="X338" s="68"/>
      <c r="Y338" s="150"/>
      <c r="Z338" s="109"/>
    </row>
    <row r="339" spans="1:26" x14ac:dyDescent="0.3">
      <c r="A339" s="1" t="s">
        <v>663</v>
      </c>
      <c r="B339" s="73" t="s">
        <v>664</v>
      </c>
      <c r="C339" s="15" t="s">
        <v>665</v>
      </c>
      <c r="D339" s="16">
        <v>46122</v>
      </c>
      <c r="E339" s="11" t="s">
        <v>666</v>
      </c>
      <c r="F339" s="11">
        <v>90251900</v>
      </c>
      <c r="G339" s="11" t="s">
        <v>154</v>
      </c>
      <c r="H339" s="12">
        <v>1431</v>
      </c>
      <c r="I339" s="11" t="s">
        <v>5</v>
      </c>
      <c r="J339" s="13">
        <v>1431</v>
      </c>
      <c r="K339" s="12">
        <v>378750.33</v>
      </c>
      <c r="L339" s="12">
        <v>7587</v>
      </c>
      <c r="M339" s="11" t="s">
        <v>204</v>
      </c>
      <c r="N339" s="11" t="s">
        <v>578</v>
      </c>
      <c r="O339" s="16">
        <v>46224</v>
      </c>
      <c r="P339" s="11" t="s">
        <v>667</v>
      </c>
      <c r="Q339" s="11"/>
      <c r="R339" s="12">
        <v>230</v>
      </c>
      <c r="S339" s="11" t="s">
        <v>5</v>
      </c>
      <c r="T339" s="13">
        <v>230</v>
      </c>
      <c r="U339" s="12">
        <f>(K339*T339)/J339</f>
        <v>60875.315094339625</v>
      </c>
      <c r="V339" s="12">
        <f>(T339*L339)/J339</f>
        <v>1219.433962264151</v>
      </c>
      <c r="W339" s="79">
        <f t="shared" ref="W339:W340" si="103">J339-T339</f>
        <v>1201</v>
      </c>
      <c r="X339" s="66">
        <f t="shared" ref="X339:X340" si="104">K339-U339</f>
        <v>317875.01490566041</v>
      </c>
      <c r="Y339" s="66">
        <f t="shared" ref="Y339:Y340" si="105">L339-V339</f>
        <v>6367.566037735849</v>
      </c>
      <c r="Z339" s="67">
        <f t="shared" ref="Z339:Z340" si="106">H339-R339</f>
        <v>1201</v>
      </c>
    </row>
    <row r="340" spans="1:26" x14ac:dyDescent="0.3">
      <c r="A340" s="1" t="s">
        <v>668</v>
      </c>
      <c r="B340" s="73" t="s">
        <v>669</v>
      </c>
      <c r="C340" s="15" t="s">
        <v>670</v>
      </c>
      <c r="D340" s="16">
        <v>46122</v>
      </c>
      <c r="E340" s="11" t="s">
        <v>671</v>
      </c>
      <c r="F340" s="11">
        <v>84186990</v>
      </c>
      <c r="G340" s="11" t="s">
        <v>154</v>
      </c>
      <c r="H340" s="12">
        <v>424</v>
      </c>
      <c r="I340" s="11" t="s">
        <v>13</v>
      </c>
      <c r="J340" s="13">
        <v>4</v>
      </c>
      <c r="K340" s="12">
        <v>863105.3</v>
      </c>
      <c r="L340" s="12">
        <v>405780</v>
      </c>
      <c r="M340" s="11"/>
      <c r="N340" s="11"/>
      <c r="O340" s="11"/>
      <c r="P340" s="11"/>
      <c r="Q340" s="11"/>
      <c r="R340" s="12"/>
      <c r="S340" s="11"/>
      <c r="T340" s="13"/>
      <c r="U340" s="12"/>
      <c r="V340" s="12"/>
      <c r="W340" s="79">
        <f t="shared" si="103"/>
        <v>4</v>
      </c>
      <c r="X340" s="66">
        <f t="shared" si="104"/>
        <v>863105.3</v>
      </c>
      <c r="Y340" s="66">
        <f t="shared" si="105"/>
        <v>405780</v>
      </c>
      <c r="Z340" s="67">
        <f t="shared" si="106"/>
        <v>424</v>
      </c>
    </row>
    <row r="341" spans="1:26" x14ac:dyDescent="0.3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11"/>
      <c r="N341" s="46"/>
      <c r="O341" s="46"/>
      <c r="P341" s="46"/>
      <c r="Q341" s="46"/>
      <c r="R341" s="46"/>
      <c r="S341" s="46"/>
      <c r="T341" s="46"/>
      <c r="U341" s="46"/>
      <c r="V341" s="46"/>
      <c r="W341" s="131"/>
      <c r="X341" s="131"/>
      <c r="Y341" s="150"/>
      <c r="Z341" s="147"/>
    </row>
    <row r="342" spans="1:26" x14ac:dyDescent="0.3">
      <c r="A342" s="65" t="s">
        <v>672</v>
      </c>
      <c r="B342" s="73" t="s">
        <v>673</v>
      </c>
      <c r="C342" s="15" t="s">
        <v>674</v>
      </c>
      <c r="D342" s="16">
        <v>46122</v>
      </c>
      <c r="E342" s="77" t="s">
        <v>675</v>
      </c>
      <c r="F342" s="11">
        <v>90183100</v>
      </c>
      <c r="G342" s="11" t="s">
        <v>154</v>
      </c>
      <c r="H342" s="12">
        <v>6000</v>
      </c>
      <c r="I342" s="11" t="s">
        <v>5</v>
      </c>
      <c r="J342" s="13">
        <v>60</v>
      </c>
      <c r="K342" s="12">
        <v>33137.81</v>
      </c>
      <c r="L342" s="12">
        <v>1244</v>
      </c>
      <c r="M342" s="11"/>
      <c r="N342" s="11"/>
      <c r="O342" s="11"/>
      <c r="P342" s="11"/>
      <c r="Q342" s="11"/>
      <c r="R342" s="12"/>
      <c r="S342" s="11"/>
      <c r="T342" s="13"/>
      <c r="U342" s="12"/>
      <c r="V342" s="12"/>
      <c r="W342" s="79">
        <f t="shared" ref="W342:W351" si="107">J342-T342</f>
        <v>60</v>
      </c>
      <c r="X342" s="66">
        <f t="shared" ref="X342:X351" si="108">K342-U342</f>
        <v>33137.81</v>
      </c>
      <c r="Y342" s="66">
        <f t="shared" ref="Y342:Y351" si="109">L342-V342</f>
        <v>1244</v>
      </c>
      <c r="Z342" s="67">
        <f t="shared" ref="Z342:Z351" si="110">H342-R342</f>
        <v>6000</v>
      </c>
    </row>
    <row r="343" spans="1:26" x14ac:dyDescent="0.3">
      <c r="A343" s="64"/>
      <c r="B343" s="73" t="s">
        <v>676</v>
      </c>
      <c r="C343" s="15"/>
      <c r="D343" s="46"/>
      <c r="E343" s="46"/>
      <c r="F343" s="11">
        <v>90183100</v>
      </c>
      <c r="G343" s="11" t="s">
        <v>154</v>
      </c>
      <c r="H343" s="12">
        <v>18000</v>
      </c>
      <c r="I343" s="11" t="s">
        <v>5</v>
      </c>
      <c r="J343" s="13">
        <v>180</v>
      </c>
      <c r="K343" s="12">
        <v>59457.48</v>
      </c>
      <c r="L343" s="12">
        <v>1190</v>
      </c>
      <c r="M343" s="11" t="s">
        <v>204</v>
      </c>
      <c r="N343" s="11" t="s">
        <v>578</v>
      </c>
      <c r="O343" s="16">
        <v>46220</v>
      </c>
      <c r="P343" s="11" t="s">
        <v>677</v>
      </c>
      <c r="Q343" s="11"/>
      <c r="R343" s="12">
        <v>46</v>
      </c>
      <c r="S343" s="11" t="s">
        <v>5</v>
      </c>
      <c r="T343" s="13">
        <v>46</v>
      </c>
      <c r="U343" s="12">
        <f>(K343*T343)/J343</f>
        <v>15194.689333333334</v>
      </c>
      <c r="V343" s="12">
        <f>(T343*L343)/J343</f>
        <v>304.11111111111109</v>
      </c>
      <c r="W343" s="79">
        <f t="shared" si="107"/>
        <v>134</v>
      </c>
      <c r="X343" s="66">
        <f t="shared" si="108"/>
        <v>44262.790666666668</v>
      </c>
      <c r="Y343" s="66">
        <f t="shared" si="109"/>
        <v>885.88888888888891</v>
      </c>
      <c r="Z343" s="67">
        <f t="shared" si="110"/>
        <v>17954</v>
      </c>
    </row>
    <row r="344" spans="1:26" x14ac:dyDescent="0.3">
      <c r="A344" s="64"/>
      <c r="B344" s="73" t="s">
        <v>678</v>
      </c>
      <c r="C344" s="15"/>
      <c r="D344" s="46"/>
      <c r="E344" s="46"/>
      <c r="F344" s="11">
        <v>90183100</v>
      </c>
      <c r="G344" s="11" t="s">
        <v>154</v>
      </c>
      <c r="H344" s="12">
        <v>21600</v>
      </c>
      <c r="I344" s="11" t="s">
        <v>5</v>
      </c>
      <c r="J344" s="13">
        <v>216</v>
      </c>
      <c r="K344" s="12">
        <v>53045.1</v>
      </c>
      <c r="L344" s="12">
        <v>1061</v>
      </c>
      <c r="M344" s="11" t="s">
        <v>204</v>
      </c>
      <c r="N344" s="11" t="s">
        <v>578</v>
      </c>
      <c r="O344" s="16">
        <v>46220</v>
      </c>
      <c r="P344" s="11" t="s">
        <v>677</v>
      </c>
      <c r="Q344" s="11"/>
      <c r="R344" s="12">
        <v>46</v>
      </c>
      <c r="S344" s="11" t="s">
        <v>5</v>
      </c>
      <c r="T344" s="13">
        <v>46</v>
      </c>
      <c r="U344" s="12">
        <f>(K344*T344)/J344</f>
        <v>11296.641666666666</v>
      </c>
      <c r="V344" s="12">
        <f>(T344*L344)/J344</f>
        <v>225.9537037037037</v>
      </c>
      <c r="W344" s="79">
        <f t="shared" si="107"/>
        <v>170</v>
      </c>
      <c r="X344" s="66">
        <f t="shared" si="108"/>
        <v>41748.458333333328</v>
      </c>
      <c r="Y344" s="66">
        <f t="shared" si="109"/>
        <v>835.0462962962963</v>
      </c>
      <c r="Z344" s="67">
        <f t="shared" si="110"/>
        <v>21554</v>
      </c>
    </row>
    <row r="345" spans="1:26" x14ac:dyDescent="0.3">
      <c r="A345" s="64"/>
      <c r="B345" s="73" t="s">
        <v>679</v>
      </c>
      <c r="C345" s="15"/>
      <c r="D345" s="46"/>
      <c r="E345" s="46"/>
      <c r="F345" s="11">
        <v>90183100</v>
      </c>
      <c r="G345" s="11" t="s">
        <v>154</v>
      </c>
      <c r="H345" s="12">
        <v>18000</v>
      </c>
      <c r="I345" s="11" t="s">
        <v>5</v>
      </c>
      <c r="J345" s="13">
        <v>180</v>
      </c>
      <c r="K345" s="12">
        <v>111716.04</v>
      </c>
      <c r="L345" s="12">
        <v>2235</v>
      </c>
      <c r="M345" s="11" t="s">
        <v>204</v>
      </c>
      <c r="N345" s="11" t="s">
        <v>578</v>
      </c>
      <c r="O345" s="16">
        <v>46220</v>
      </c>
      <c r="P345" s="11" t="s">
        <v>677</v>
      </c>
      <c r="Q345" s="11"/>
      <c r="R345" s="12">
        <v>110</v>
      </c>
      <c r="S345" s="11" t="s">
        <v>5</v>
      </c>
      <c r="T345" s="13">
        <v>110</v>
      </c>
      <c r="U345" s="12">
        <f>(K345*T345)/J345</f>
        <v>68270.91333333333</v>
      </c>
      <c r="V345" s="12">
        <f>(T345*L345)/J345</f>
        <v>1365.8333333333333</v>
      </c>
      <c r="W345" s="79">
        <f t="shared" si="107"/>
        <v>70</v>
      </c>
      <c r="X345" s="66">
        <f t="shared" si="108"/>
        <v>43445.126666666663</v>
      </c>
      <c r="Y345" s="66">
        <f t="shared" si="109"/>
        <v>869.16666666666674</v>
      </c>
      <c r="Z345" s="67">
        <f t="shared" si="110"/>
        <v>17890</v>
      </c>
    </row>
    <row r="346" spans="1:26" x14ac:dyDescent="0.3">
      <c r="A346" s="64"/>
      <c r="B346" s="73" t="s">
        <v>680</v>
      </c>
      <c r="C346" s="15"/>
      <c r="D346" s="46"/>
      <c r="E346" s="46"/>
      <c r="F346" s="11">
        <v>90183100</v>
      </c>
      <c r="G346" s="11" t="s">
        <v>154</v>
      </c>
      <c r="H346" s="12">
        <v>9000</v>
      </c>
      <c r="I346" s="11" t="s">
        <v>5</v>
      </c>
      <c r="J346" s="13">
        <v>90</v>
      </c>
      <c r="K346" s="12">
        <v>33765.050000000003</v>
      </c>
      <c r="L346" s="12">
        <v>676</v>
      </c>
      <c r="M346" s="11"/>
      <c r="N346" s="11"/>
      <c r="O346" s="11"/>
      <c r="P346" s="11"/>
      <c r="Q346" s="11"/>
      <c r="R346" s="12"/>
      <c r="S346" s="11"/>
      <c r="T346" s="13"/>
      <c r="U346" s="12"/>
      <c r="V346" s="12"/>
      <c r="W346" s="79">
        <f t="shared" si="107"/>
        <v>90</v>
      </c>
      <c r="X346" s="66">
        <f t="shared" si="108"/>
        <v>33765.050000000003</v>
      </c>
      <c r="Y346" s="66">
        <f t="shared" si="109"/>
        <v>676</v>
      </c>
      <c r="Z346" s="67">
        <f t="shared" si="110"/>
        <v>9000</v>
      </c>
    </row>
    <row r="347" spans="1:26" x14ac:dyDescent="0.3">
      <c r="A347" s="64"/>
      <c r="B347" s="73" t="s">
        <v>681</v>
      </c>
      <c r="C347" s="15"/>
      <c r="D347" s="46"/>
      <c r="E347" s="46"/>
      <c r="F347" s="11">
        <v>90183100</v>
      </c>
      <c r="G347" s="11" t="s">
        <v>154</v>
      </c>
      <c r="H347" s="12">
        <v>43200</v>
      </c>
      <c r="I347" s="11" t="s">
        <v>5</v>
      </c>
      <c r="J347" s="13">
        <v>432</v>
      </c>
      <c r="K347" s="12">
        <v>150956.79999999999</v>
      </c>
      <c r="L347" s="12">
        <v>3020</v>
      </c>
      <c r="M347" s="11"/>
      <c r="N347" s="11"/>
      <c r="O347" s="11"/>
      <c r="P347" s="11"/>
      <c r="Q347" s="11"/>
      <c r="R347" s="12"/>
      <c r="S347" s="11"/>
      <c r="T347" s="13"/>
      <c r="U347" s="12"/>
      <c r="V347" s="12"/>
      <c r="W347" s="79">
        <f t="shared" si="107"/>
        <v>432</v>
      </c>
      <c r="X347" s="66">
        <f t="shared" si="108"/>
        <v>150956.79999999999</v>
      </c>
      <c r="Y347" s="66">
        <f t="shared" si="109"/>
        <v>3020</v>
      </c>
      <c r="Z347" s="67">
        <f t="shared" si="110"/>
        <v>43200</v>
      </c>
    </row>
    <row r="348" spans="1:26" x14ac:dyDescent="0.3">
      <c r="A348" s="64"/>
      <c r="B348" s="14" t="s">
        <v>682</v>
      </c>
      <c r="C348" s="15"/>
      <c r="D348" s="46"/>
      <c r="E348" s="46"/>
      <c r="F348" s="11">
        <v>90183100</v>
      </c>
      <c r="G348" s="11" t="s">
        <v>154</v>
      </c>
      <c r="H348" s="12">
        <v>9000</v>
      </c>
      <c r="I348" s="11" t="s">
        <v>5</v>
      </c>
      <c r="J348" s="13">
        <v>90</v>
      </c>
      <c r="K348" s="12">
        <v>33228.26</v>
      </c>
      <c r="L348" s="12">
        <v>665</v>
      </c>
      <c r="M348" s="11"/>
      <c r="N348" s="11"/>
      <c r="O348" s="11"/>
      <c r="P348" s="11"/>
      <c r="Q348" s="11"/>
      <c r="R348" s="12"/>
      <c r="S348" s="11"/>
      <c r="T348" s="13"/>
      <c r="U348" s="12"/>
      <c r="V348" s="12"/>
      <c r="W348" s="79">
        <f t="shared" si="107"/>
        <v>90</v>
      </c>
      <c r="X348" s="66">
        <f t="shared" si="108"/>
        <v>33228.26</v>
      </c>
      <c r="Y348" s="66">
        <f t="shared" si="109"/>
        <v>665</v>
      </c>
      <c r="Z348" s="67">
        <f t="shared" si="110"/>
        <v>9000</v>
      </c>
    </row>
    <row r="349" spans="1:26" x14ac:dyDescent="0.3">
      <c r="A349" s="64"/>
      <c r="B349" s="73" t="s">
        <v>683</v>
      </c>
      <c r="C349" s="15"/>
      <c r="D349" s="46"/>
      <c r="E349" s="46"/>
      <c r="F349" s="11">
        <v>90183900</v>
      </c>
      <c r="G349" s="11" t="s">
        <v>154</v>
      </c>
      <c r="H349" s="12">
        <v>4000</v>
      </c>
      <c r="I349" s="11" t="s">
        <v>5</v>
      </c>
      <c r="J349" s="13">
        <v>400</v>
      </c>
      <c r="K349" s="12">
        <v>332327.7</v>
      </c>
      <c r="L349" s="12">
        <v>6647</v>
      </c>
      <c r="M349" s="11" t="s">
        <v>204</v>
      </c>
      <c r="N349" s="11" t="s">
        <v>578</v>
      </c>
      <c r="O349" s="16">
        <v>46220</v>
      </c>
      <c r="P349" s="11" t="s">
        <v>677</v>
      </c>
      <c r="Q349" s="11"/>
      <c r="R349" s="12">
        <v>280</v>
      </c>
      <c r="S349" s="11" t="s">
        <v>5</v>
      </c>
      <c r="T349" s="13">
        <v>280</v>
      </c>
      <c r="U349" s="12">
        <f>(K349*T349)/J349</f>
        <v>232629.39</v>
      </c>
      <c r="V349" s="12">
        <f>(T349*L349)/J349</f>
        <v>4652.8999999999996</v>
      </c>
      <c r="W349" s="79">
        <f t="shared" si="107"/>
        <v>120</v>
      </c>
      <c r="X349" s="66">
        <f t="shared" si="108"/>
        <v>99698.31</v>
      </c>
      <c r="Y349" s="66">
        <f t="shared" si="109"/>
        <v>1994.1000000000004</v>
      </c>
      <c r="Z349" s="67">
        <f t="shared" si="110"/>
        <v>3720</v>
      </c>
    </row>
    <row r="350" spans="1:26" x14ac:dyDescent="0.3">
      <c r="A350" s="64"/>
      <c r="B350" s="73" t="s">
        <v>684</v>
      </c>
      <c r="C350" s="15"/>
      <c r="D350" s="46"/>
      <c r="E350" s="46"/>
      <c r="F350" s="11">
        <v>90183900</v>
      </c>
      <c r="G350" s="11" t="s">
        <v>154</v>
      </c>
      <c r="H350" s="12">
        <v>2500</v>
      </c>
      <c r="I350" s="11" t="s">
        <v>5</v>
      </c>
      <c r="J350" s="13">
        <v>250</v>
      </c>
      <c r="K350" s="12">
        <v>104410.62</v>
      </c>
      <c r="L350" s="12">
        <v>2089</v>
      </c>
      <c r="M350" s="11"/>
      <c r="N350" s="11"/>
      <c r="O350" s="11"/>
      <c r="P350" s="11"/>
      <c r="Q350" s="11"/>
      <c r="R350" s="12"/>
      <c r="S350" s="11"/>
      <c r="T350" s="13"/>
      <c r="U350" s="12"/>
      <c r="V350" s="12"/>
      <c r="W350" s="79">
        <f t="shared" si="107"/>
        <v>250</v>
      </c>
      <c r="X350" s="66">
        <f t="shared" si="108"/>
        <v>104410.62</v>
      </c>
      <c r="Y350" s="66">
        <f t="shared" si="109"/>
        <v>2089</v>
      </c>
      <c r="Z350" s="67">
        <f t="shared" si="110"/>
        <v>2500</v>
      </c>
    </row>
    <row r="351" spans="1:26" x14ac:dyDescent="0.3">
      <c r="A351" s="64"/>
      <c r="B351" s="10" t="s">
        <v>685</v>
      </c>
      <c r="C351" s="15"/>
      <c r="D351" s="46"/>
      <c r="E351" s="46"/>
      <c r="F351" s="11">
        <v>90183900</v>
      </c>
      <c r="G351" s="11" t="s">
        <v>154</v>
      </c>
      <c r="H351" s="12">
        <v>2500</v>
      </c>
      <c r="I351" s="11" t="s">
        <v>5</v>
      </c>
      <c r="J351" s="13">
        <v>250</v>
      </c>
      <c r="K351" s="12">
        <v>104625.34</v>
      </c>
      <c r="L351" s="12">
        <v>2093</v>
      </c>
      <c r="M351" s="11" t="s">
        <v>204</v>
      </c>
      <c r="N351" s="11" t="s">
        <v>578</v>
      </c>
      <c r="O351" s="16">
        <v>46220</v>
      </c>
      <c r="P351" s="11" t="s">
        <v>677</v>
      </c>
      <c r="Q351" s="11"/>
      <c r="R351" s="12">
        <v>46</v>
      </c>
      <c r="S351" s="11" t="s">
        <v>5</v>
      </c>
      <c r="T351" s="13">
        <v>46</v>
      </c>
      <c r="U351" s="12">
        <f>(K351*T351)/J351</f>
        <v>19251.062559999998</v>
      </c>
      <c r="V351" s="12">
        <f>(T351*L351)/J351</f>
        <v>385.11200000000002</v>
      </c>
      <c r="W351" s="79">
        <f t="shared" si="107"/>
        <v>204</v>
      </c>
      <c r="X351" s="66">
        <f t="shared" si="108"/>
        <v>85374.277440000005</v>
      </c>
      <c r="Y351" s="66">
        <f t="shared" si="109"/>
        <v>1707.8879999999999</v>
      </c>
      <c r="Z351" s="67">
        <f t="shared" si="110"/>
        <v>2454</v>
      </c>
    </row>
    <row r="352" spans="1:26" x14ac:dyDescent="0.3">
      <c r="A352" s="64"/>
      <c r="B352" s="73" t="s">
        <v>686</v>
      </c>
      <c r="C352" s="15"/>
      <c r="D352" s="46"/>
      <c r="E352" s="46"/>
      <c r="F352" s="11">
        <v>90183900</v>
      </c>
      <c r="G352" s="11" t="s">
        <v>154</v>
      </c>
      <c r="H352" s="12">
        <v>1500</v>
      </c>
      <c r="I352" s="11" t="s">
        <v>5</v>
      </c>
      <c r="J352" s="13">
        <v>150</v>
      </c>
      <c r="K352" s="12">
        <v>63741.43</v>
      </c>
      <c r="L352" s="12">
        <v>1275</v>
      </c>
      <c r="M352" s="11" t="s">
        <v>201</v>
      </c>
      <c r="N352" s="11" t="s">
        <v>202</v>
      </c>
      <c r="O352" s="16">
        <v>46220</v>
      </c>
      <c r="P352" s="11" t="s">
        <v>203</v>
      </c>
      <c r="Q352" s="11"/>
      <c r="R352" s="12">
        <v>10</v>
      </c>
      <c r="S352" s="11" t="s">
        <v>5</v>
      </c>
      <c r="T352" s="13">
        <v>10</v>
      </c>
      <c r="U352" s="12">
        <f>(K352*T352)/J352</f>
        <v>4249.4286666666667</v>
      </c>
      <c r="V352" s="12">
        <f>(T352*L352)/J352</f>
        <v>85</v>
      </c>
      <c r="W352" s="79">
        <f>J352-T352-T353</f>
        <v>94</v>
      </c>
      <c r="X352" s="66">
        <f>K352-U352-U353</f>
        <v>39944.629466666665</v>
      </c>
      <c r="Y352" s="66">
        <f>L352-V352-V353</f>
        <v>799</v>
      </c>
      <c r="Z352" s="67">
        <f>H352-R352-R353</f>
        <v>1444</v>
      </c>
    </row>
    <row r="353" spans="1:26" x14ac:dyDescent="0.3">
      <c r="A353" s="64"/>
      <c r="B353" s="73"/>
      <c r="C353" s="15"/>
      <c r="D353" s="46"/>
      <c r="E353" s="46"/>
      <c r="F353" s="11"/>
      <c r="G353" s="11"/>
      <c r="H353" s="12"/>
      <c r="I353" s="11"/>
      <c r="J353" s="13"/>
      <c r="K353" s="12"/>
      <c r="L353" s="12"/>
      <c r="M353" s="11" t="s">
        <v>204</v>
      </c>
      <c r="N353" s="11" t="s">
        <v>578</v>
      </c>
      <c r="O353" s="16">
        <v>46220</v>
      </c>
      <c r="P353" s="11" t="s">
        <v>677</v>
      </c>
      <c r="Q353" s="11"/>
      <c r="R353" s="12">
        <v>46</v>
      </c>
      <c r="S353" s="11" t="s">
        <v>5</v>
      </c>
      <c r="T353" s="13">
        <v>46</v>
      </c>
      <c r="U353" s="12">
        <f>(K352*T353)/J352</f>
        <v>19547.371866666665</v>
      </c>
      <c r="V353" s="12">
        <f>(T353*L352)/J352</f>
        <v>391</v>
      </c>
      <c r="W353" s="79"/>
      <c r="X353" s="66"/>
      <c r="Y353" s="66"/>
      <c r="Z353" s="67"/>
    </row>
    <row r="354" spans="1:26" x14ac:dyDescent="0.3">
      <c r="A354" s="64"/>
      <c r="B354" s="73" t="s">
        <v>687</v>
      </c>
      <c r="C354" s="15"/>
      <c r="D354" s="46"/>
      <c r="E354" s="46"/>
      <c r="F354" s="11">
        <v>90183900</v>
      </c>
      <c r="G354" s="11" t="s">
        <v>154</v>
      </c>
      <c r="H354" s="12">
        <v>1500</v>
      </c>
      <c r="I354" s="11" t="s">
        <v>5</v>
      </c>
      <c r="J354" s="13">
        <v>150</v>
      </c>
      <c r="K354" s="12">
        <v>57482.400000000001</v>
      </c>
      <c r="L354" s="12">
        <v>1150</v>
      </c>
      <c r="M354" s="11" t="s">
        <v>201</v>
      </c>
      <c r="N354" s="11" t="s">
        <v>202</v>
      </c>
      <c r="O354" s="16">
        <v>46220</v>
      </c>
      <c r="P354" s="11" t="s">
        <v>203</v>
      </c>
      <c r="Q354" s="11"/>
      <c r="R354" s="12">
        <v>10</v>
      </c>
      <c r="S354" s="11" t="s">
        <v>5</v>
      </c>
      <c r="T354" s="13">
        <v>10</v>
      </c>
      <c r="U354" s="12">
        <f>(K354*T354)/J354</f>
        <v>3832.16</v>
      </c>
      <c r="V354" s="12">
        <f>(T354*L354)/J354</f>
        <v>76.666666666666671</v>
      </c>
      <c r="W354" s="79">
        <f>J354-T354-T355</f>
        <v>133</v>
      </c>
      <c r="X354" s="66">
        <f>K354-U354-U355</f>
        <v>50967.728000000003</v>
      </c>
      <c r="Y354" s="66">
        <f>L354-V354-V355</f>
        <v>1019.6666666666666</v>
      </c>
      <c r="Z354" s="67">
        <f>H354-R354-R355</f>
        <v>1483</v>
      </c>
    </row>
    <row r="355" spans="1:26" x14ac:dyDescent="0.3">
      <c r="A355" s="64"/>
      <c r="B355" s="73"/>
      <c r="C355" s="15"/>
      <c r="D355" s="46"/>
      <c r="E355" s="46"/>
      <c r="F355" s="11"/>
      <c r="G355" s="11"/>
      <c r="H355" s="12"/>
      <c r="I355" s="11"/>
      <c r="J355" s="13"/>
      <c r="K355" s="12"/>
      <c r="L355" s="12"/>
      <c r="M355" s="11" t="s">
        <v>404</v>
      </c>
      <c r="N355" s="11" t="s">
        <v>405</v>
      </c>
      <c r="O355" s="16">
        <v>46246</v>
      </c>
      <c r="P355" s="11" t="s">
        <v>688</v>
      </c>
      <c r="Q355" s="11"/>
      <c r="R355" s="12">
        <v>7</v>
      </c>
      <c r="S355" s="11" t="s">
        <v>5</v>
      </c>
      <c r="T355" s="13">
        <v>7</v>
      </c>
      <c r="U355" s="12">
        <f>(K354*T355)/J354</f>
        <v>2682.5119999999997</v>
      </c>
      <c r="V355" s="12">
        <f>(T355*L354)/J354</f>
        <v>53.666666666666664</v>
      </c>
      <c r="W355" s="79"/>
      <c r="X355" s="66"/>
      <c r="Y355" s="66"/>
      <c r="Z355" s="67"/>
    </row>
    <row r="356" spans="1:26" x14ac:dyDescent="0.3">
      <c r="A356" s="64"/>
      <c r="B356" s="73" t="s">
        <v>689</v>
      </c>
      <c r="C356" s="15"/>
      <c r="D356" s="46"/>
      <c r="E356" s="46"/>
      <c r="F356" s="11">
        <v>90183900</v>
      </c>
      <c r="G356" s="11" t="s">
        <v>154</v>
      </c>
      <c r="H356" s="12">
        <v>7500</v>
      </c>
      <c r="I356" s="11" t="s">
        <v>5</v>
      </c>
      <c r="J356" s="13">
        <v>750</v>
      </c>
      <c r="K356" s="12">
        <v>290954.82</v>
      </c>
      <c r="L356" s="12">
        <v>5820</v>
      </c>
      <c r="M356" s="11" t="s">
        <v>201</v>
      </c>
      <c r="N356" s="11" t="s">
        <v>202</v>
      </c>
      <c r="O356" s="16">
        <v>46220</v>
      </c>
      <c r="P356" s="11" t="s">
        <v>203</v>
      </c>
      <c r="Q356" s="11"/>
      <c r="R356" s="12">
        <v>10</v>
      </c>
      <c r="S356" s="11" t="s">
        <v>5</v>
      </c>
      <c r="T356" s="13">
        <v>60</v>
      </c>
      <c r="U356" s="12">
        <f>(K356*T356)/J356</f>
        <v>23276.385599999998</v>
      </c>
      <c r="V356" s="12">
        <f>(T356*L356)/J356</f>
        <v>465.6</v>
      </c>
      <c r="W356" s="79">
        <f>J356-T356-T357</f>
        <v>644</v>
      </c>
      <c r="X356" s="66">
        <f>K356-U356-U357</f>
        <v>249833.20544000002</v>
      </c>
      <c r="Y356" s="66">
        <f>L356-V356-V357</f>
        <v>4997.4399999999996</v>
      </c>
      <c r="Z356" s="67">
        <f>H356-R356-R357</f>
        <v>7444</v>
      </c>
    </row>
    <row r="357" spans="1:26" x14ac:dyDescent="0.3">
      <c r="A357" s="64"/>
      <c r="B357" s="73"/>
      <c r="C357" s="15"/>
      <c r="D357" s="46"/>
      <c r="E357" s="46"/>
      <c r="F357" s="11"/>
      <c r="G357" s="11"/>
      <c r="H357" s="12"/>
      <c r="I357" s="11"/>
      <c r="J357" s="13"/>
      <c r="K357" s="12"/>
      <c r="L357" s="12"/>
      <c r="M357" s="11" t="s">
        <v>204</v>
      </c>
      <c r="N357" s="11" t="s">
        <v>578</v>
      </c>
      <c r="O357" s="16">
        <v>46220</v>
      </c>
      <c r="P357" s="11" t="s">
        <v>677</v>
      </c>
      <c r="Q357" s="11"/>
      <c r="R357" s="12">
        <v>46</v>
      </c>
      <c r="S357" s="11" t="s">
        <v>5</v>
      </c>
      <c r="T357" s="13">
        <v>46</v>
      </c>
      <c r="U357" s="12">
        <f>(K356*T357)/J356</f>
        <v>17845.22896</v>
      </c>
      <c r="V357" s="12">
        <f>(T357*L356)/J356</f>
        <v>356.96</v>
      </c>
      <c r="W357" s="79"/>
      <c r="X357" s="66"/>
      <c r="Y357" s="66"/>
      <c r="Z357" s="67"/>
    </row>
    <row r="358" spans="1:26" x14ac:dyDescent="0.3">
      <c r="A358" s="64"/>
      <c r="B358" s="73" t="s">
        <v>690</v>
      </c>
      <c r="C358" s="15"/>
      <c r="D358" s="46"/>
      <c r="E358" s="46"/>
      <c r="F358" s="11">
        <v>90183900</v>
      </c>
      <c r="G358" s="11" t="s">
        <v>154</v>
      </c>
      <c r="H358" s="12">
        <v>7500</v>
      </c>
      <c r="I358" s="11" t="s">
        <v>5</v>
      </c>
      <c r="J358" s="13">
        <v>750</v>
      </c>
      <c r="K358" s="12">
        <v>292500.8</v>
      </c>
      <c r="L358" s="12">
        <v>5851</v>
      </c>
      <c r="M358" s="11" t="s">
        <v>201</v>
      </c>
      <c r="N358" s="11" t="s">
        <v>202</v>
      </c>
      <c r="O358" s="16">
        <v>46220</v>
      </c>
      <c r="P358" s="11" t="s">
        <v>203</v>
      </c>
      <c r="Q358" s="11"/>
      <c r="R358" s="12">
        <v>10</v>
      </c>
      <c r="S358" s="11" t="s">
        <v>5</v>
      </c>
      <c r="T358" s="13">
        <v>60</v>
      </c>
      <c r="U358" s="12">
        <f>(K358*T358)/J358</f>
        <v>23400.063999999998</v>
      </c>
      <c r="V358" s="12">
        <f>(T358*L358)/J358</f>
        <v>468.08</v>
      </c>
      <c r="W358" s="79">
        <f t="shared" ref="W358:X358" si="111">J358-T358</f>
        <v>690</v>
      </c>
      <c r="X358" s="66">
        <f t="shared" si="111"/>
        <v>269100.73599999998</v>
      </c>
      <c r="Y358" s="66">
        <f t="shared" ref="Y358" si="112">L358-V358</f>
        <v>5382.92</v>
      </c>
      <c r="Z358" s="67">
        <f>H358-R358</f>
        <v>7490</v>
      </c>
    </row>
    <row r="359" spans="1:26" x14ac:dyDescent="0.3">
      <c r="A359" s="64"/>
      <c r="B359" s="73" t="s">
        <v>691</v>
      </c>
      <c r="C359" s="15"/>
      <c r="D359" s="46"/>
      <c r="E359" s="46"/>
      <c r="F359" s="11">
        <v>90183900</v>
      </c>
      <c r="G359" s="11" t="s">
        <v>154</v>
      </c>
      <c r="H359" s="12">
        <v>7500</v>
      </c>
      <c r="I359" s="11" t="s">
        <v>5</v>
      </c>
      <c r="J359" s="13">
        <v>750</v>
      </c>
      <c r="K359" s="12">
        <v>293853.53000000003</v>
      </c>
      <c r="L359" s="12">
        <v>5878</v>
      </c>
      <c r="M359" s="11"/>
      <c r="N359" s="11"/>
      <c r="O359" s="11"/>
      <c r="P359" s="11"/>
      <c r="Q359" s="11"/>
      <c r="R359" s="12"/>
      <c r="S359" s="11"/>
      <c r="T359" s="13"/>
      <c r="U359" s="12"/>
      <c r="V359" s="12"/>
      <c r="W359" s="79">
        <f t="shared" ref="W359:W360" si="113">J359-T359</f>
        <v>750</v>
      </c>
      <c r="X359" s="66">
        <f t="shared" ref="X359:X360" si="114">K359-U359</f>
        <v>293853.53000000003</v>
      </c>
      <c r="Y359" s="66">
        <f t="shared" ref="Y359:Y360" si="115">L359-V359</f>
        <v>5878</v>
      </c>
      <c r="Z359" s="67">
        <f t="shared" ref="Z359:Z360" si="116">H359-R359</f>
        <v>7500</v>
      </c>
    </row>
    <row r="360" spans="1:26" x14ac:dyDescent="0.3">
      <c r="A360" s="64"/>
      <c r="B360" s="73" t="s">
        <v>692</v>
      </c>
      <c r="C360" s="15"/>
      <c r="D360" s="46"/>
      <c r="E360" s="46"/>
      <c r="F360" s="11">
        <v>90183900</v>
      </c>
      <c r="G360" s="11" t="s">
        <v>154</v>
      </c>
      <c r="H360" s="12">
        <v>9500</v>
      </c>
      <c r="I360" s="11" t="s">
        <v>5</v>
      </c>
      <c r="J360" s="13">
        <v>380</v>
      </c>
      <c r="K360" s="12">
        <v>165768.59</v>
      </c>
      <c r="L360" s="12">
        <v>3316</v>
      </c>
      <c r="M360" s="11" t="s">
        <v>330</v>
      </c>
      <c r="N360" s="11" t="s">
        <v>331</v>
      </c>
      <c r="O360" s="16">
        <v>46231</v>
      </c>
      <c r="P360" s="11" t="s">
        <v>693</v>
      </c>
      <c r="Q360" s="11"/>
      <c r="R360" s="12">
        <v>132</v>
      </c>
      <c r="S360" s="11" t="s">
        <v>5</v>
      </c>
      <c r="T360" s="13">
        <v>132</v>
      </c>
      <c r="U360" s="12">
        <f>(K360*T360)/J360</f>
        <v>57582.773368421047</v>
      </c>
      <c r="V360" s="12">
        <f>(T360*L360)/J360</f>
        <v>1151.8736842105263</v>
      </c>
      <c r="W360" s="79">
        <f t="shared" si="113"/>
        <v>248</v>
      </c>
      <c r="X360" s="66">
        <f t="shared" si="114"/>
        <v>108185.81663157896</v>
      </c>
      <c r="Y360" s="66">
        <f t="shared" si="115"/>
        <v>2164.1263157894737</v>
      </c>
      <c r="Z360" s="67">
        <f t="shared" si="116"/>
        <v>9368</v>
      </c>
    </row>
    <row r="361" spans="1:26" x14ac:dyDescent="0.3">
      <c r="A361" s="1"/>
      <c r="B361" s="10"/>
      <c r="C361" s="11"/>
      <c r="D361" s="11"/>
      <c r="E361" s="11"/>
      <c r="F361" s="11"/>
      <c r="G361" s="11"/>
      <c r="H361" s="12"/>
      <c r="I361" s="11"/>
      <c r="J361" s="13"/>
      <c r="K361" s="12"/>
      <c r="L361" s="12"/>
      <c r="M361" s="11"/>
      <c r="N361" s="11"/>
      <c r="O361" s="11"/>
      <c r="P361" s="11"/>
      <c r="Q361" s="11"/>
      <c r="R361" s="12"/>
      <c r="S361" s="11"/>
      <c r="T361" s="13"/>
      <c r="U361" s="12"/>
      <c r="V361" s="12"/>
      <c r="W361" s="134"/>
      <c r="X361" s="68"/>
      <c r="Y361" s="150"/>
      <c r="Z361" s="109"/>
    </row>
    <row r="362" spans="1:26" s="60" customFormat="1" x14ac:dyDescent="0.3">
      <c r="A362" s="65" t="s">
        <v>672</v>
      </c>
      <c r="B362" s="180" t="s">
        <v>694</v>
      </c>
      <c r="C362" s="141" t="s">
        <v>695</v>
      </c>
      <c r="D362" s="76">
        <v>46122</v>
      </c>
      <c r="E362" s="43" t="s">
        <v>696</v>
      </c>
      <c r="F362" s="43">
        <v>90183200</v>
      </c>
      <c r="G362" s="43" t="s">
        <v>154</v>
      </c>
      <c r="H362" s="44">
        <v>119</v>
      </c>
      <c r="I362" s="43" t="s">
        <v>13</v>
      </c>
      <c r="J362" s="45">
        <v>1000</v>
      </c>
      <c r="K362" s="44">
        <v>127375.14</v>
      </c>
      <c r="L362" s="44">
        <v>2635</v>
      </c>
      <c r="M362" s="43" t="s">
        <v>201</v>
      </c>
      <c r="N362" s="43" t="s">
        <v>202</v>
      </c>
      <c r="O362" s="76">
        <v>46220</v>
      </c>
      <c r="P362" s="43" t="s">
        <v>203</v>
      </c>
      <c r="Q362" s="43"/>
      <c r="R362" s="44">
        <f>(T362*H362)/J362</f>
        <v>5.95</v>
      </c>
      <c r="S362" s="43" t="s">
        <v>13</v>
      </c>
      <c r="T362" s="45">
        <v>50</v>
      </c>
      <c r="U362" s="44">
        <f>(T362*K362)/J362</f>
        <v>6368.7569999999996</v>
      </c>
      <c r="V362" s="44">
        <f>(T362*L362)/J362</f>
        <v>131.75</v>
      </c>
      <c r="W362" s="133">
        <f>J362-T362-T363</f>
        <v>720</v>
      </c>
      <c r="X362" s="71">
        <f>K362-U362-U363</f>
        <v>91710.1008</v>
      </c>
      <c r="Y362" s="71">
        <f>L362-V362-V363</f>
        <v>1897.2</v>
      </c>
      <c r="Z362" s="119">
        <f>H362-R362-R363</f>
        <v>86.05</v>
      </c>
    </row>
    <row r="363" spans="1:26" s="60" customFormat="1" x14ac:dyDescent="0.3">
      <c r="A363" s="65"/>
      <c r="B363" s="180"/>
      <c r="C363" s="141"/>
      <c r="D363" s="76"/>
      <c r="E363" s="43"/>
      <c r="F363" s="43"/>
      <c r="G363" s="43"/>
      <c r="H363" s="44"/>
      <c r="I363" s="43"/>
      <c r="J363" s="45"/>
      <c r="K363" s="44"/>
      <c r="L363" s="44"/>
      <c r="M363" s="43" t="s">
        <v>204</v>
      </c>
      <c r="N363" s="43" t="s">
        <v>578</v>
      </c>
      <c r="O363" s="76">
        <v>46220</v>
      </c>
      <c r="P363" s="43" t="s">
        <v>697</v>
      </c>
      <c r="Q363" s="43"/>
      <c r="R363" s="44">
        <v>27</v>
      </c>
      <c r="S363" s="43" t="s">
        <v>13</v>
      </c>
      <c r="T363" s="45">
        <v>230</v>
      </c>
      <c r="U363" s="44">
        <f>(T363*K362)/J362</f>
        <v>29296.282199999998</v>
      </c>
      <c r="V363" s="44">
        <f>(T363*L362)/J362</f>
        <v>606.04999999999995</v>
      </c>
      <c r="W363" s="133"/>
      <c r="X363" s="71"/>
      <c r="Y363" s="71"/>
      <c r="Z363" s="119"/>
    </row>
    <row r="364" spans="1:26" x14ac:dyDescent="0.3">
      <c r="A364" s="64"/>
      <c r="B364" s="180" t="s">
        <v>698</v>
      </c>
      <c r="C364" s="141"/>
      <c r="D364" s="43"/>
      <c r="E364" s="43"/>
      <c r="F364" s="43">
        <v>90183200</v>
      </c>
      <c r="G364" s="43" t="s">
        <v>154</v>
      </c>
      <c r="H364" s="44">
        <v>100</v>
      </c>
      <c r="I364" s="43" t="s">
        <v>13</v>
      </c>
      <c r="J364" s="45">
        <v>1000</v>
      </c>
      <c r="K364" s="44">
        <v>122672.2</v>
      </c>
      <c r="L364" s="44">
        <v>2454</v>
      </c>
      <c r="M364" s="43" t="s">
        <v>204</v>
      </c>
      <c r="N364" s="43" t="s">
        <v>578</v>
      </c>
      <c r="O364" s="76">
        <v>46220</v>
      </c>
      <c r="P364" s="43" t="s">
        <v>697</v>
      </c>
      <c r="Q364" s="43"/>
      <c r="R364" s="44">
        <v>11</v>
      </c>
      <c r="S364" s="43" t="s">
        <v>13</v>
      </c>
      <c r="T364" s="45">
        <v>115</v>
      </c>
      <c r="U364" s="44">
        <f>(T364*K364)/J364</f>
        <v>14107.303</v>
      </c>
      <c r="V364" s="44">
        <f>(T364*L364)/J364</f>
        <v>282.20999999999998</v>
      </c>
      <c r="W364" s="79">
        <f t="shared" ref="W364:W365" si="117">J364-T364</f>
        <v>885</v>
      </c>
      <c r="X364" s="66">
        <f t="shared" ref="X364:X365" si="118">K364-U364</f>
        <v>108564.897</v>
      </c>
      <c r="Y364" s="66">
        <f t="shared" ref="Y364:Y365" si="119">L364-V364</f>
        <v>2171.79</v>
      </c>
      <c r="Z364" s="67">
        <f t="shared" ref="Z364:Z365" si="120">H364-R364</f>
        <v>89</v>
      </c>
    </row>
    <row r="365" spans="1:26" x14ac:dyDescent="0.3">
      <c r="A365" s="64"/>
      <c r="B365" s="180" t="s">
        <v>699</v>
      </c>
      <c r="C365" s="141"/>
      <c r="D365" s="43"/>
      <c r="E365" s="43"/>
      <c r="F365" s="43">
        <v>90183200</v>
      </c>
      <c r="G365" s="43" t="s">
        <v>154</v>
      </c>
      <c r="H365" s="44">
        <v>98</v>
      </c>
      <c r="I365" s="43" t="s">
        <v>13</v>
      </c>
      <c r="J365" s="45">
        <v>1000</v>
      </c>
      <c r="K365" s="44">
        <v>122177.15</v>
      </c>
      <c r="L365" s="44">
        <v>2444</v>
      </c>
      <c r="M365" s="43" t="s">
        <v>204</v>
      </c>
      <c r="N365" s="43" t="s">
        <v>578</v>
      </c>
      <c r="O365" s="76">
        <v>46220</v>
      </c>
      <c r="P365" s="43" t="s">
        <v>697</v>
      </c>
      <c r="Q365" s="43"/>
      <c r="R365" s="44">
        <v>11</v>
      </c>
      <c r="S365" s="43" t="s">
        <v>13</v>
      </c>
      <c r="T365" s="45">
        <v>115</v>
      </c>
      <c r="U365" s="44">
        <f>(T365*K365)/J365</f>
        <v>14050.37225</v>
      </c>
      <c r="V365" s="44">
        <f>(T365*L365)/J365</f>
        <v>281.06</v>
      </c>
      <c r="W365" s="79">
        <f t="shared" si="117"/>
        <v>885</v>
      </c>
      <c r="X365" s="66">
        <f t="shared" si="118"/>
        <v>108126.77774999999</v>
      </c>
      <c r="Y365" s="66">
        <f t="shared" si="119"/>
        <v>2162.94</v>
      </c>
      <c r="Z365" s="67">
        <f t="shared" si="120"/>
        <v>87</v>
      </c>
    </row>
    <row r="366" spans="1:26" x14ac:dyDescent="0.3">
      <c r="A366" s="1"/>
      <c r="B366" s="10"/>
      <c r="C366" s="11"/>
      <c r="D366" s="11"/>
      <c r="E366" s="11"/>
      <c r="F366" s="11"/>
      <c r="G366" s="11"/>
      <c r="H366" s="12"/>
      <c r="I366" s="11"/>
      <c r="J366" s="13"/>
      <c r="K366" s="12"/>
      <c r="L366" s="12"/>
      <c r="M366" s="11"/>
      <c r="N366" s="11"/>
      <c r="O366" s="11"/>
      <c r="P366" s="11"/>
      <c r="Q366" s="11"/>
      <c r="R366" s="12"/>
      <c r="S366" s="11"/>
      <c r="T366" s="13"/>
      <c r="U366" s="12"/>
      <c r="V366" s="12"/>
      <c r="W366" s="134"/>
      <c r="X366" s="68"/>
      <c r="Y366" s="150"/>
      <c r="Z366" s="109"/>
    </row>
    <row r="367" spans="1:26" x14ac:dyDescent="0.3">
      <c r="A367" s="1" t="s">
        <v>242</v>
      </c>
      <c r="B367" s="10" t="s">
        <v>700</v>
      </c>
      <c r="C367" s="15" t="s">
        <v>701</v>
      </c>
      <c r="D367" s="16">
        <v>46128</v>
      </c>
      <c r="E367" s="11" t="s">
        <v>702</v>
      </c>
      <c r="F367" s="11">
        <v>30045000</v>
      </c>
      <c r="G367" s="11" t="s">
        <v>12</v>
      </c>
      <c r="H367" s="12">
        <v>37.86</v>
      </c>
      <c r="I367" s="11" t="s">
        <v>13</v>
      </c>
      <c r="J367" s="13">
        <v>441</v>
      </c>
      <c r="K367" s="12">
        <v>270895.92</v>
      </c>
      <c r="L367" s="12">
        <v>5435</v>
      </c>
      <c r="M367" s="11" t="s">
        <v>401</v>
      </c>
      <c r="N367" s="11" t="s">
        <v>402</v>
      </c>
      <c r="O367" s="16">
        <v>46216</v>
      </c>
      <c r="P367" s="11" t="s">
        <v>703</v>
      </c>
      <c r="Q367" s="11"/>
      <c r="R367" s="12">
        <v>5.28</v>
      </c>
      <c r="S367" s="11" t="s">
        <v>13</v>
      </c>
      <c r="T367" s="13">
        <v>350</v>
      </c>
      <c r="U367" s="12">
        <f>(K367*T367)/J367</f>
        <v>214996.76190476189</v>
      </c>
      <c r="V367" s="12">
        <f>(T367*L367)/J367</f>
        <v>4313.4920634920636</v>
      </c>
      <c r="W367" s="79">
        <f>J367-T367</f>
        <v>91</v>
      </c>
      <c r="X367" s="66">
        <f>K367-U367</f>
        <v>55899.15809523809</v>
      </c>
      <c r="Y367" s="66">
        <f>L367-V367</f>
        <v>1121.5079365079364</v>
      </c>
      <c r="Z367" s="67">
        <f>H367-R367</f>
        <v>32.58</v>
      </c>
    </row>
    <row r="368" spans="1:26" x14ac:dyDescent="0.3">
      <c r="A368" s="1"/>
      <c r="B368" s="10"/>
      <c r="C368" s="11"/>
      <c r="D368" s="11"/>
      <c r="E368" s="11"/>
      <c r="F368" s="11"/>
      <c r="G368" s="11"/>
      <c r="H368" s="12"/>
      <c r="I368" s="11"/>
      <c r="J368" s="13"/>
      <c r="K368" s="12"/>
      <c r="L368" s="12"/>
      <c r="M368" s="11"/>
      <c r="N368" s="11"/>
      <c r="O368" s="11"/>
      <c r="P368" s="11"/>
      <c r="Q368" s="11"/>
      <c r="R368" s="12"/>
      <c r="S368" s="11"/>
      <c r="T368" s="13"/>
      <c r="U368" s="12"/>
      <c r="V368" s="12"/>
      <c r="W368" s="134"/>
      <c r="X368" s="68"/>
      <c r="Y368" s="150"/>
      <c r="Z368" s="109"/>
    </row>
    <row r="369" spans="1:26" x14ac:dyDescent="0.3">
      <c r="A369" s="64" t="s">
        <v>242</v>
      </c>
      <c r="B369" s="10" t="s">
        <v>704</v>
      </c>
      <c r="C369" s="15" t="s">
        <v>705</v>
      </c>
      <c r="D369" s="16">
        <v>46128</v>
      </c>
      <c r="E369" s="11" t="s">
        <v>706</v>
      </c>
      <c r="F369" s="11">
        <v>30042000</v>
      </c>
      <c r="G369" s="11" t="s">
        <v>12</v>
      </c>
      <c r="H369" s="12">
        <v>25</v>
      </c>
      <c r="I369" s="11" t="s">
        <v>13</v>
      </c>
      <c r="J369" s="13">
        <v>599</v>
      </c>
      <c r="K369" s="12">
        <v>1099340.1100000001</v>
      </c>
      <c r="L369" s="12">
        <v>22689</v>
      </c>
      <c r="M369" s="11" t="s">
        <v>404</v>
      </c>
      <c r="N369" s="11" t="s">
        <v>405</v>
      </c>
      <c r="O369" s="16">
        <v>46246</v>
      </c>
      <c r="P369" s="11" t="s">
        <v>707</v>
      </c>
      <c r="Q369" s="11"/>
      <c r="R369" s="12">
        <v>0.8</v>
      </c>
      <c r="S369" s="11" t="s">
        <v>13</v>
      </c>
      <c r="T369" s="13">
        <v>20</v>
      </c>
      <c r="U369" s="12">
        <f>(K369*T369)/J369</f>
        <v>36705.846744574294</v>
      </c>
      <c r="V369" s="12">
        <f>(T369*L369)/J369</f>
        <v>757.56260434056765</v>
      </c>
      <c r="W369" s="79">
        <f>J369-T369</f>
        <v>579</v>
      </c>
      <c r="X369" s="66">
        <f>K369-U369</f>
        <v>1062634.2632554257</v>
      </c>
      <c r="Y369" s="66">
        <f>L369-V369</f>
        <v>21931.437395659432</v>
      </c>
      <c r="Z369" s="67">
        <f>H369-R369</f>
        <v>24.2</v>
      </c>
    </row>
    <row r="370" spans="1:26" x14ac:dyDescent="0.3">
      <c r="A370" s="64"/>
      <c r="B370" s="10" t="s">
        <v>708</v>
      </c>
      <c r="C370" s="11"/>
      <c r="D370" s="46"/>
      <c r="E370" s="46"/>
      <c r="F370" s="11">
        <v>30049000</v>
      </c>
      <c r="G370" s="11" t="s">
        <v>12</v>
      </c>
      <c r="H370" s="12">
        <v>33</v>
      </c>
      <c r="I370" s="11" t="s">
        <v>13</v>
      </c>
      <c r="J370" s="13">
        <v>1000</v>
      </c>
      <c r="K370" s="12">
        <v>516805.17</v>
      </c>
      <c r="L370" s="12">
        <v>10337</v>
      </c>
      <c r="M370" s="11"/>
      <c r="N370" s="11"/>
      <c r="O370" s="11"/>
      <c r="P370" s="11"/>
      <c r="Q370" s="11"/>
      <c r="R370" s="12"/>
      <c r="S370" s="11"/>
      <c r="T370" s="13"/>
      <c r="U370" s="12"/>
      <c r="V370" s="12"/>
      <c r="W370" s="79">
        <f t="shared" ref="W370:W371" si="121">J370-T370</f>
        <v>1000</v>
      </c>
      <c r="X370" s="66">
        <f t="shared" ref="X370:X371" si="122">K370-U370</f>
        <v>516805.17</v>
      </c>
      <c r="Y370" s="66">
        <f t="shared" ref="Y370:Y371" si="123">L370-V370</f>
        <v>10337</v>
      </c>
      <c r="Z370" s="67">
        <f t="shared" ref="Z370:Z371" si="124">H370-R370</f>
        <v>33</v>
      </c>
    </row>
    <row r="371" spans="1:26" x14ac:dyDescent="0.3">
      <c r="A371" s="64"/>
      <c r="B371" s="10" t="s">
        <v>709</v>
      </c>
      <c r="C371" s="11"/>
      <c r="D371" s="46"/>
      <c r="E371" s="46"/>
      <c r="F371" s="11">
        <v>30045000</v>
      </c>
      <c r="G371" s="11" t="s">
        <v>12</v>
      </c>
      <c r="H371" s="12">
        <v>33</v>
      </c>
      <c r="I371" s="11" t="s">
        <v>13</v>
      </c>
      <c r="J371" s="13">
        <v>1000</v>
      </c>
      <c r="K371" s="12">
        <v>406712.75</v>
      </c>
      <c r="L371" s="12">
        <v>8135</v>
      </c>
      <c r="M371" s="11"/>
      <c r="N371" s="11"/>
      <c r="O371" s="11"/>
      <c r="P371" s="11"/>
      <c r="Q371" s="11"/>
      <c r="R371" s="12"/>
      <c r="S371" s="11"/>
      <c r="T371" s="13"/>
      <c r="U371" s="12"/>
      <c r="V371" s="12"/>
      <c r="W371" s="79">
        <f t="shared" si="121"/>
        <v>1000</v>
      </c>
      <c r="X371" s="66">
        <f t="shared" si="122"/>
        <v>406712.75</v>
      </c>
      <c r="Y371" s="66">
        <f t="shared" si="123"/>
        <v>8135</v>
      </c>
      <c r="Z371" s="67">
        <f t="shared" si="124"/>
        <v>33</v>
      </c>
    </row>
    <row r="372" spans="1:26" x14ac:dyDescent="0.3">
      <c r="A372" s="64"/>
      <c r="B372" s="10" t="s">
        <v>710</v>
      </c>
      <c r="C372" s="11"/>
      <c r="D372" s="46"/>
      <c r="E372" s="46"/>
      <c r="F372" s="11">
        <v>30041000</v>
      </c>
      <c r="G372" s="11" t="s">
        <v>12</v>
      </c>
      <c r="H372" s="12">
        <v>41</v>
      </c>
      <c r="I372" s="11" t="s">
        <v>13</v>
      </c>
      <c r="J372" s="13">
        <v>478</v>
      </c>
      <c r="K372" s="12">
        <v>837280.6</v>
      </c>
      <c r="L372" s="12">
        <v>16746</v>
      </c>
      <c r="M372" s="11" t="s">
        <v>201</v>
      </c>
      <c r="N372" s="11" t="s">
        <v>202</v>
      </c>
      <c r="O372" s="16">
        <v>46220</v>
      </c>
      <c r="P372" s="11" t="s">
        <v>203</v>
      </c>
      <c r="Q372" s="11"/>
      <c r="R372" s="12">
        <v>30</v>
      </c>
      <c r="S372" s="11" t="s">
        <v>13</v>
      </c>
      <c r="T372" s="13">
        <v>100</v>
      </c>
      <c r="U372" s="12">
        <f>(K372*T372)/J372</f>
        <v>175163.30543933055</v>
      </c>
      <c r="V372" s="12">
        <f>(T372*L372)/J372</f>
        <v>3503.3472803347281</v>
      </c>
      <c r="W372" s="79">
        <f>J372-T372-T373</f>
        <v>318</v>
      </c>
      <c r="X372" s="66">
        <f>K372-U372-U373</f>
        <v>557019.31129707117</v>
      </c>
      <c r="Y372" s="66">
        <f>L372-V372-V373</f>
        <v>11140.644351464434</v>
      </c>
      <c r="Z372" s="67">
        <f>H372-R372-R373</f>
        <v>5.86</v>
      </c>
    </row>
    <row r="373" spans="1:26" x14ac:dyDescent="0.3">
      <c r="A373" s="64"/>
      <c r="B373" s="10"/>
      <c r="C373" s="11"/>
      <c r="D373" s="46"/>
      <c r="E373" s="46"/>
      <c r="F373" s="11"/>
      <c r="G373" s="11"/>
      <c r="H373" s="12"/>
      <c r="I373" s="11"/>
      <c r="J373" s="13"/>
      <c r="K373" s="12"/>
      <c r="L373" s="12"/>
      <c r="M373" s="11" t="s">
        <v>401</v>
      </c>
      <c r="N373" s="11" t="s">
        <v>402</v>
      </c>
      <c r="O373" s="16">
        <v>46216</v>
      </c>
      <c r="P373" s="11" t="s">
        <v>703</v>
      </c>
      <c r="Q373" s="11"/>
      <c r="R373" s="12">
        <v>5.14</v>
      </c>
      <c r="S373" s="11" t="s">
        <v>13</v>
      </c>
      <c r="T373" s="13">
        <v>60</v>
      </c>
      <c r="U373" s="12">
        <f>(K372*T373)/J372</f>
        <v>105097.98326359833</v>
      </c>
      <c r="V373" s="12">
        <f>(T373*L372)/J372</f>
        <v>2102.0083682008367</v>
      </c>
      <c r="W373" s="79"/>
      <c r="X373" s="66"/>
      <c r="Y373" s="66"/>
      <c r="Z373" s="67"/>
    </row>
    <row r="374" spans="1:26" x14ac:dyDescent="0.3">
      <c r="A374" s="64"/>
      <c r="B374" s="10" t="s">
        <v>711</v>
      </c>
      <c r="C374" s="11"/>
      <c r="D374" s="46"/>
      <c r="E374" s="46"/>
      <c r="F374" s="11">
        <v>30049000</v>
      </c>
      <c r="G374" s="11" t="s">
        <v>12</v>
      </c>
      <c r="H374" s="12">
        <v>38</v>
      </c>
      <c r="I374" s="11" t="s">
        <v>13</v>
      </c>
      <c r="J374" s="13">
        <v>500</v>
      </c>
      <c r="K374" s="12">
        <v>497281.76</v>
      </c>
      <c r="L374" s="12">
        <v>9946</v>
      </c>
      <c r="M374" s="11"/>
      <c r="N374" s="11"/>
      <c r="O374" s="11"/>
      <c r="P374" s="11"/>
      <c r="Q374" s="11"/>
      <c r="R374" s="12"/>
      <c r="S374" s="11"/>
      <c r="T374" s="13"/>
      <c r="U374" s="12"/>
      <c r="V374" s="12"/>
      <c r="W374" s="79">
        <f>J374-T374</f>
        <v>500</v>
      </c>
      <c r="X374" s="66">
        <f>K374-U374</f>
        <v>497281.76</v>
      </c>
      <c r="Y374" s="66">
        <f>L374-V374</f>
        <v>9946</v>
      </c>
      <c r="Z374" s="67">
        <f>H374-R374</f>
        <v>38</v>
      </c>
    </row>
    <row r="375" spans="1:26" x14ac:dyDescent="0.3">
      <c r="A375" s="64"/>
      <c r="B375" s="10" t="s">
        <v>712</v>
      </c>
      <c r="C375" s="11"/>
      <c r="D375" s="46"/>
      <c r="E375" s="46"/>
      <c r="F375" s="11">
        <v>30049000</v>
      </c>
      <c r="G375" s="11" t="s">
        <v>12</v>
      </c>
      <c r="H375" s="12">
        <v>66</v>
      </c>
      <c r="I375" s="11" t="s">
        <v>13</v>
      </c>
      <c r="J375" s="13">
        <v>500</v>
      </c>
      <c r="K375" s="12">
        <v>518766.36</v>
      </c>
      <c r="L375" s="12">
        <v>10376</v>
      </c>
      <c r="M375" s="11" t="s">
        <v>401</v>
      </c>
      <c r="N375" s="11" t="s">
        <v>402</v>
      </c>
      <c r="O375" s="16">
        <v>46216</v>
      </c>
      <c r="P375" s="11" t="s">
        <v>703</v>
      </c>
      <c r="Q375" s="11"/>
      <c r="R375" s="12">
        <v>5.28</v>
      </c>
      <c r="S375" s="11" t="s">
        <v>13</v>
      </c>
      <c r="T375" s="13">
        <v>40</v>
      </c>
      <c r="U375" s="12">
        <f>(K375*T375)/J375</f>
        <v>41501.308799999999</v>
      </c>
      <c r="V375" s="12">
        <f>(T375*L375)/J375</f>
        <v>830.08</v>
      </c>
      <c r="W375" s="79">
        <f t="shared" ref="W375:Y376" si="125">J375-T375-T376</f>
        <v>445</v>
      </c>
      <c r="X375" s="66">
        <f t="shared" si="125"/>
        <v>451420.53945301205</v>
      </c>
      <c r="Y375" s="66">
        <f t="shared" si="125"/>
        <v>9029.0224096385537</v>
      </c>
      <c r="Z375" s="67">
        <f>H375-R375-R376</f>
        <v>57.72</v>
      </c>
    </row>
    <row r="376" spans="1:26" x14ac:dyDescent="0.3">
      <c r="A376" s="64"/>
      <c r="B376" s="10" t="s">
        <v>713</v>
      </c>
      <c r="C376" s="11"/>
      <c r="D376" s="46"/>
      <c r="E376" s="46"/>
      <c r="F376" s="11">
        <v>30049000</v>
      </c>
      <c r="G376" s="11" t="s">
        <v>12</v>
      </c>
      <c r="H376" s="12">
        <v>99</v>
      </c>
      <c r="I376" s="11" t="s">
        <v>13</v>
      </c>
      <c r="J376" s="13">
        <v>498</v>
      </c>
      <c r="K376" s="12">
        <v>858037.79</v>
      </c>
      <c r="L376" s="12">
        <v>17161</v>
      </c>
      <c r="M376" s="24" t="s">
        <v>204</v>
      </c>
      <c r="N376" s="24" t="s">
        <v>205</v>
      </c>
      <c r="O376" s="16">
        <v>46212</v>
      </c>
      <c r="P376" s="11" t="s">
        <v>389</v>
      </c>
      <c r="Q376" s="11"/>
      <c r="R376" s="12">
        <v>3</v>
      </c>
      <c r="S376" s="11" t="s">
        <v>13</v>
      </c>
      <c r="T376" s="13">
        <v>15</v>
      </c>
      <c r="U376" s="12">
        <f>(K376*T376)/J376</f>
        <v>25844.511746987955</v>
      </c>
      <c r="V376" s="12">
        <f>(T376*L376)/J376</f>
        <v>516.89759036144574</v>
      </c>
      <c r="W376" s="79">
        <f t="shared" si="125"/>
        <v>483</v>
      </c>
      <c r="X376" s="66">
        <f t="shared" si="125"/>
        <v>832193.2782530121</v>
      </c>
      <c r="Y376" s="66">
        <f t="shared" si="125"/>
        <v>16644.102409638555</v>
      </c>
      <c r="Z376" s="67">
        <f>H376-R376-R377</f>
        <v>96</v>
      </c>
    </row>
    <row r="377" spans="1:26" x14ac:dyDescent="0.3">
      <c r="A377" s="1"/>
      <c r="B377" s="10"/>
      <c r="C377" s="11"/>
      <c r="D377" s="11"/>
      <c r="E377" s="11"/>
      <c r="F377" s="11"/>
      <c r="G377" s="11"/>
      <c r="H377" s="12"/>
      <c r="I377" s="11"/>
      <c r="J377" s="13"/>
      <c r="K377" s="12"/>
      <c r="L377" s="12"/>
      <c r="M377" s="11"/>
      <c r="N377" s="11"/>
      <c r="O377" s="11"/>
      <c r="P377" s="11"/>
      <c r="Q377" s="11"/>
      <c r="R377" s="12"/>
      <c r="S377" s="11"/>
      <c r="T377" s="13"/>
      <c r="U377" s="12"/>
      <c r="V377" s="12"/>
      <c r="W377" s="134"/>
      <c r="X377" s="68"/>
      <c r="Y377" s="150"/>
      <c r="Z377" s="109"/>
    </row>
    <row r="378" spans="1:26" s="60" customFormat="1" x14ac:dyDescent="0.3">
      <c r="A378" s="1" t="s">
        <v>714</v>
      </c>
      <c r="B378" s="74" t="s">
        <v>715</v>
      </c>
      <c r="C378" s="141" t="s">
        <v>716</v>
      </c>
      <c r="D378" s="76">
        <v>46128</v>
      </c>
      <c r="E378" s="43" t="s">
        <v>717</v>
      </c>
      <c r="F378" s="43">
        <v>38089490</v>
      </c>
      <c r="G378" s="43" t="s">
        <v>4</v>
      </c>
      <c r="H378" s="44">
        <v>72.849999999999994</v>
      </c>
      <c r="I378" s="43" t="s">
        <v>13</v>
      </c>
      <c r="J378" s="45">
        <v>600</v>
      </c>
      <c r="K378" s="44">
        <v>43800</v>
      </c>
      <c r="L378" s="44">
        <v>0</v>
      </c>
      <c r="M378" s="43" t="s">
        <v>475</v>
      </c>
      <c r="N378" s="43" t="s">
        <v>476</v>
      </c>
      <c r="O378" s="76">
        <v>46217</v>
      </c>
      <c r="P378" s="43" t="s">
        <v>718</v>
      </c>
      <c r="Q378" s="43"/>
      <c r="R378" s="44">
        <v>60</v>
      </c>
      <c r="S378" s="43" t="s">
        <v>13</v>
      </c>
      <c r="T378" s="45">
        <v>500</v>
      </c>
      <c r="U378" s="44">
        <v>36500</v>
      </c>
      <c r="V378" s="44">
        <f>(T378*L378)/J378</f>
        <v>0</v>
      </c>
      <c r="W378" s="133">
        <f>J378-T378-T379</f>
        <v>100</v>
      </c>
      <c r="X378" s="71">
        <f>K378-U378-U379</f>
        <v>7300</v>
      </c>
      <c r="Y378" s="71">
        <f>L378-V378-V379</f>
        <v>0</v>
      </c>
      <c r="Z378" s="119">
        <f>H378-R378-R379</f>
        <v>12.849999999999994</v>
      </c>
    </row>
    <row r="379" spans="1:26" x14ac:dyDescent="0.3">
      <c r="A379" s="1"/>
      <c r="B379" s="74"/>
      <c r="C379" s="141"/>
      <c r="D379" s="76"/>
      <c r="E379" s="43"/>
      <c r="F379" s="43"/>
      <c r="G379" s="43"/>
      <c r="H379" s="44"/>
      <c r="I379" s="43"/>
      <c r="J379" s="45"/>
      <c r="K379" s="44"/>
      <c r="L379" s="44"/>
      <c r="M379" s="43"/>
      <c r="N379" s="43"/>
      <c r="O379" s="43"/>
      <c r="P379" s="43"/>
      <c r="Q379" s="43"/>
      <c r="R379" s="44"/>
      <c r="S379" s="43"/>
      <c r="T379" s="45"/>
      <c r="U379" s="44"/>
      <c r="V379" s="44"/>
      <c r="W379" s="178"/>
      <c r="X379" s="129"/>
      <c r="Y379" s="179"/>
      <c r="Z379" s="109"/>
    </row>
    <row r="380" spans="1:26" x14ac:dyDescent="0.3">
      <c r="A380" s="1" t="s">
        <v>719</v>
      </c>
      <c r="B380" s="10" t="s">
        <v>720</v>
      </c>
      <c r="C380" s="15" t="s">
        <v>721</v>
      </c>
      <c r="D380" s="16">
        <v>46139</v>
      </c>
      <c r="E380" s="11" t="s">
        <v>722</v>
      </c>
      <c r="F380" s="11">
        <v>30049000</v>
      </c>
      <c r="G380" s="11" t="s">
        <v>12</v>
      </c>
      <c r="H380" s="12">
        <v>117</v>
      </c>
      <c r="I380" s="11" t="s">
        <v>13</v>
      </c>
      <c r="J380" s="13">
        <v>1000</v>
      </c>
      <c r="K380" s="12">
        <v>66830.13</v>
      </c>
      <c r="L380" s="12">
        <v>1587</v>
      </c>
      <c r="M380" s="11"/>
      <c r="N380" s="11"/>
      <c r="O380" s="11"/>
      <c r="P380" s="11"/>
      <c r="Q380" s="11"/>
      <c r="R380" s="12"/>
      <c r="S380" s="11"/>
      <c r="T380" s="13"/>
      <c r="U380" s="12"/>
      <c r="V380" s="12"/>
      <c r="W380" s="79">
        <v>1000</v>
      </c>
      <c r="X380" s="66">
        <v>66830.13</v>
      </c>
      <c r="Y380" s="66">
        <f t="shared" ref="Y380:Y417" si="126">L380-V380</f>
        <v>1587</v>
      </c>
      <c r="Z380" s="119">
        <v>117</v>
      </c>
    </row>
    <row r="381" spans="1:26" x14ac:dyDescent="0.3">
      <c r="A381" s="106"/>
      <c r="B381" s="93" t="s">
        <v>723</v>
      </c>
      <c r="C381" s="89"/>
      <c r="D381" s="89"/>
      <c r="E381" s="89"/>
      <c r="F381" s="89">
        <v>30042000</v>
      </c>
      <c r="G381" s="89" t="s">
        <v>12</v>
      </c>
      <c r="H381" s="90">
        <v>66.2</v>
      </c>
      <c r="I381" s="89" t="s">
        <v>13</v>
      </c>
      <c r="J381" s="91">
        <v>200</v>
      </c>
      <c r="K381" s="90">
        <v>122633.66</v>
      </c>
      <c r="L381" s="90">
        <v>2453</v>
      </c>
      <c r="M381" s="89" t="s">
        <v>724</v>
      </c>
      <c r="N381" s="89" t="s">
        <v>557</v>
      </c>
      <c r="O381" s="88">
        <v>46195</v>
      </c>
      <c r="P381" s="89" t="s">
        <v>725</v>
      </c>
      <c r="Q381" s="89"/>
      <c r="R381" s="90">
        <v>66.2</v>
      </c>
      <c r="S381" s="89" t="s">
        <v>13</v>
      </c>
      <c r="T381" s="91">
        <v>200</v>
      </c>
      <c r="U381" s="90">
        <v>122633.66</v>
      </c>
      <c r="V381" s="90">
        <f>(T381*L381)/J381</f>
        <v>2453</v>
      </c>
      <c r="W381" s="79">
        <v>0</v>
      </c>
      <c r="X381" s="66">
        <v>0</v>
      </c>
      <c r="Y381" s="66">
        <f t="shared" si="126"/>
        <v>0</v>
      </c>
      <c r="Z381" s="119">
        <v>0</v>
      </c>
    </row>
    <row r="382" spans="1:26" x14ac:dyDescent="0.3">
      <c r="A382" s="1"/>
      <c r="B382" s="10" t="s">
        <v>726</v>
      </c>
      <c r="C382" s="11"/>
      <c r="D382" s="11"/>
      <c r="E382" s="11"/>
      <c r="F382" s="11">
        <v>30049000</v>
      </c>
      <c r="G382" s="11" t="s">
        <v>12</v>
      </c>
      <c r="H382" s="12">
        <v>207</v>
      </c>
      <c r="I382" s="11" t="s">
        <v>13</v>
      </c>
      <c r="J382" s="13">
        <v>8600</v>
      </c>
      <c r="K382" s="12">
        <v>431742.95</v>
      </c>
      <c r="L382" s="12">
        <v>8635</v>
      </c>
      <c r="M382" s="24" t="s">
        <v>204</v>
      </c>
      <c r="N382" s="24" t="s">
        <v>205</v>
      </c>
      <c r="O382" s="16">
        <v>46212</v>
      </c>
      <c r="P382" s="11" t="s">
        <v>727</v>
      </c>
      <c r="Q382" s="11"/>
      <c r="R382" s="12">
        <v>55</v>
      </c>
      <c r="S382" s="11" t="s">
        <v>13</v>
      </c>
      <c r="T382" s="13">
        <v>2300</v>
      </c>
      <c r="U382" s="12">
        <f>(K382*T382)/8600</f>
        <v>115466.13779069767</v>
      </c>
      <c r="V382" s="12">
        <f>(T382*L382)/J382</f>
        <v>2309.3604651162791</v>
      </c>
      <c r="W382" s="79">
        <f t="shared" ref="W382:Y383" si="127">J382-T382</f>
        <v>6300</v>
      </c>
      <c r="X382" s="66">
        <f t="shared" si="127"/>
        <v>316276.81220930233</v>
      </c>
      <c r="Y382" s="66">
        <f t="shared" si="127"/>
        <v>6325.6395348837214</v>
      </c>
      <c r="Z382" s="67">
        <f>H382-R382</f>
        <v>152</v>
      </c>
    </row>
    <row r="383" spans="1:26" x14ac:dyDescent="0.3">
      <c r="A383" s="1"/>
      <c r="B383" s="10" t="s">
        <v>728</v>
      </c>
      <c r="C383" s="11"/>
      <c r="D383" s="11"/>
      <c r="E383" s="11"/>
      <c r="F383" s="11">
        <v>30049000</v>
      </c>
      <c r="G383" s="11" t="s">
        <v>12</v>
      </c>
      <c r="H383" s="12">
        <v>26.1</v>
      </c>
      <c r="I383" s="11" t="s">
        <v>13</v>
      </c>
      <c r="J383" s="13">
        <v>2000</v>
      </c>
      <c r="K383" s="12">
        <v>151381.25</v>
      </c>
      <c r="L383" s="12">
        <v>3028</v>
      </c>
      <c r="M383" s="24" t="s">
        <v>204</v>
      </c>
      <c r="N383" s="24" t="s">
        <v>205</v>
      </c>
      <c r="O383" s="16">
        <v>46212</v>
      </c>
      <c r="P383" s="11" t="s">
        <v>727</v>
      </c>
      <c r="Q383" s="11"/>
      <c r="R383" s="12">
        <v>1.5</v>
      </c>
      <c r="S383" s="11" t="s">
        <v>13</v>
      </c>
      <c r="T383" s="13">
        <v>115</v>
      </c>
      <c r="U383" s="12">
        <f>(K383*T383)/8600</f>
        <v>2024.2841569767443</v>
      </c>
      <c r="V383" s="12">
        <f>(T383*L383)/J383</f>
        <v>174.11</v>
      </c>
      <c r="W383" s="79">
        <f t="shared" si="127"/>
        <v>1885</v>
      </c>
      <c r="X383" s="66">
        <f t="shared" si="127"/>
        <v>149356.96584302327</v>
      </c>
      <c r="Y383" s="66">
        <f t="shared" si="127"/>
        <v>2853.89</v>
      </c>
      <c r="Z383" s="67">
        <f>H383-R383</f>
        <v>24.6</v>
      </c>
    </row>
    <row r="384" spans="1:26" x14ac:dyDescent="0.3">
      <c r="A384" s="1"/>
      <c r="B384" s="10"/>
      <c r="C384" s="11"/>
      <c r="D384" s="11"/>
      <c r="E384" s="11"/>
      <c r="F384" s="11"/>
      <c r="G384" s="11"/>
      <c r="H384" s="12"/>
      <c r="I384" s="11"/>
      <c r="J384" s="13"/>
      <c r="K384" s="12"/>
      <c r="L384" s="12"/>
      <c r="M384" s="11"/>
      <c r="N384" s="11"/>
      <c r="O384" s="11"/>
      <c r="P384" s="11"/>
      <c r="Q384" s="11"/>
      <c r="R384" s="12"/>
      <c r="S384" s="11"/>
      <c r="T384" s="13"/>
      <c r="U384" s="12"/>
      <c r="V384" s="12"/>
      <c r="W384" s="134"/>
      <c r="X384" s="68"/>
      <c r="Y384" s="150"/>
      <c r="Z384" s="109"/>
    </row>
    <row r="385" spans="1:26" x14ac:dyDescent="0.3">
      <c r="A385" s="1" t="s">
        <v>729</v>
      </c>
      <c r="B385" s="10" t="s">
        <v>730</v>
      </c>
      <c r="C385" s="15" t="s">
        <v>731</v>
      </c>
      <c r="D385" s="16">
        <v>46139</v>
      </c>
      <c r="E385" s="11" t="s">
        <v>732</v>
      </c>
      <c r="F385" s="11">
        <v>30042000</v>
      </c>
      <c r="G385" s="11" t="s">
        <v>12</v>
      </c>
      <c r="H385" s="12">
        <v>170.87</v>
      </c>
      <c r="I385" s="11" t="s">
        <v>13</v>
      </c>
      <c r="J385" s="13">
        <v>2500</v>
      </c>
      <c r="K385" s="12">
        <v>165312.95999999999</v>
      </c>
      <c r="L385" s="12">
        <v>3557</v>
      </c>
      <c r="M385" s="11" t="s">
        <v>204</v>
      </c>
      <c r="N385" s="11" t="s">
        <v>205</v>
      </c>
      <c r="O385" s="16">
        <v>46212</v>
      </c>
      <c r="P385" s="11" t="s">
        <v>733</v>
      </c>
      <c r="Q385" s="11"/>
      <c r="R385" s="12">
        <v>15</v>
      </c>
      <c r="S385" s="11" t="s">
        <v>13</v>
      </c>
      <c r="T385" s="13">
        <v>222</v>
      </c>
      <c r="U385" s="12">
        <f>(K385*T385)/J385</f>
        <v>14679.790847999999</v>
      </c>
      <c r="V385" s="12">
        <f>(T385*L385)/J385</f>
        <v>315.86160000000001</v>
      </c>
      <c r="W385" s="79">
        <f>J385-T385-T386</f>
        <v>0</v>
      </c>
      <c r="X385" s="66">
        <f>K385-U385-U386</f>
        <v>0</v>
      </c>
      <c r="Y385" s="66">
        <f>L385-V385-V386</f>
        <v>0</v>
      </c>
      <c r="Z385" s="67">
        <f>H385-R385-R386</f>
        <v>0</v>
      </c>
    </row>
    <row r="386" spans="1:26" x14ac:dyDescent="0.3">
      <c r="A386" s="1"/>
      <c r="B386" s="10"/>
      <c r="C386" s="15"/>
      <c r="D386" s="16"/>
      <c r="E386" s="11"/>
      <c r="F386" s="11"/>
      <c r="G386" s="11"/>
      <c r="H386" s="12"/>
      <c r="I386" s="11"/>
      <c r="J386" s="13"/>
      <c r="K386" s="12"/>
      <c r="L386" s="12"/>
      <c r="M386" s="11" t="s">
        <v>433</v>
      </c>
      <c r="N386" s="11" t="s">
        <v>434</v>
      </c>
      <c r="O386" s="16">
        <v>46244</v>
      </c>
      <c r="P386" s="11" t="s">
        <v>734</v>
      </c>
      <c r="Q386" s="11"/>
      <c r="R386" s="12">
        <v>155.87</v>
      </c>
      <c r="S386" s="11" t="s">
        <v>13</v>
      </c>
      <c r="T386" s="13">
        <v>2278</v>
      </c>
      <c r="U386" s="12">
        <f>(K385*T386)/J385</f>
        <v>150633.16915199999</v>
      </c>
      <c r="V386" s="12">
        <f>(T386*L385)/J385</f>
        <v>3241.1383999999998</v>
      </c>
      <c r="W386" s="79"/>
      <c r="X386" s="66"/>
      <c r="Y386" s="66"/>
      <c r="Z386" s="67"/>
    </row>
    <row r="387" spans="1:26" x14ac:dyDescent="0.3">
      <c r="A387" s="1"/>
      <c r="B387" s="10" t="s">
        <v>735</v>
      </c>
      <c r="C387" s="11"/>
      <c r="D387" s="11"/>
      <c r="E387" s="11"/>
      <c r="F387" s="11">
        <v>30041000</v>
      </c>
      <c r="G387" s="11" t="s">
        <v>12</v>
      </c>
      <c r="H387" s="12">
        <v>146.5</v>
      </c>
      <c r="I387" s="11" t="s">
        <v>13</v>
      </c>
      <c r="J387" s="13">
        <v>200</v>
      </c>
      <c r="K387" s="12">
        <v>155250.54999999999</v>
      </c>
      <c r="L387" s="12">
        <v>3106</v>
      </c>
      <c r="M387" s="11"/>
      <c r="N387" s="11"/>
      <c r="O387" s="11"/>
      <c r="P387" s="11"/>
      <c r="Q387" s="11"/>
      <c r="R387" s="12"/>
      <c r="S387" s="11"/>
      <c r="T387" s="13"/>
      <c r="U387" s="12"/>
      <c r="V387" s="12"/>
      <c r="W387" s="79">
        <v>200</v>
      </c>
      <c r="X387" s="66">
        <v>155250.54999999999</v>
      </c>
      <c r="Y387" s="66">
        <f t="shared" si="126"/>
        <v>3106</v>
      </c>
      <c r="Z387" s="119">
        <v>146.5</v>
      </c>
    </row>
    <row r="388" spans="1:26" x14ac:dyDescent="0.3">
      <c r="A388" s="1"/>
      <c r="B388" s="10" t="s">
        <v>736</v>
      </c>
      <c r="C388" s="11"/>
      <c r="D388" s="11"/>
      <c r="E388" s="11"/>
      <c r="F388" s="11">
        <v>30041000</v>
      </c>
      <c r="G388" s="11" t="s">
        <v>12</v>
      </c>
      <c r="H388" s="12">
        <v>148.47999999999999</v>
      </c>
      <c r="I388" s="11" t="s">
        <v>13</v>
      </c>
      <c r="J388" s="13">
        <v>500</v>
      </c>
      <c r="K388" s="12">
        <v>148679.03</v>
      </c>
      <c r="L388" s="12">
        <v>2974</v>
      </c>
      <c r="M388" s="11" t="s">
        <v>201</v>
      </c>
      <c r="N388" s="11" t="s">
        <v>202</v>
      </c>
      <c r="O388" s="16">
        <v>46220</v>
      </c>
      <c r="P388" s="11" t="s">
        <v>203</v>
      </c>
      <c r="Q388" s="11"/>
      <c r="R388" s="12">
        <v>22.55</v>
      </c>
      <c r="S388" s="11" t="s">
        <v>13</v>
      </c>
      <c r="T388" s="13">
        <v>200</v>
      </c>
      <c r="U388" s="12">
        <f>(K388*T388)/J388</f>
        <v>59471.612000000001</v>
      </c>
      <c r="V388" s="12">
        <f>(T388*L388)/J388</f>
        <v>1189.5999999999999</v>
      </c>
      <c r="W388" s="79">
        <f>J388-T388</f>
        <v>300</v>
      </c>
      <c r="X388" s="66">
        <f>K388-U388</f>
        <v>89207.418000000005</v>
      </c>
      <c r="Y388" s="66">
        <f t="shared" ref="Y388" si="128">L388-V388</f>
        <v>1784.4</v>
      </c>
      <c r="Z388" s="67">
        <f>H388-R388</f>
        <v>125.92999999999999</v>
      </c>
    </row>
    <row r="389" spans="1:26" x14ac:dyDescent="0.3">
      <c r="A389" s="1"/>
      <c r="B389" s="10" t="s">
        <v>737</v>
      </c>
      <c r="C389" s="11"/>
      <c r="D389" s="11"/>
      <c r="E389" s="11"/>
      <c r="F389" s="11">
        <v>30049000</v>
      </c>
      <c r="G389" s="11" t="s">
        <v>12</v>
      </c>
      <c r="H389" s="12">
        <v>42.74</v>
      </c>
      <c r="I389" s="11" t="s">
        <v>13</v>
      </c>
      <c r="J389" s="13">
        <v>600</v>
      </c>
      <c r="K389" s="12">
        <v>132246.42000000001</v>
      </c>
      <c r="L389" s="12">
        <v>2645</v>
      </c>
      <c r="M389" s="11"/>
      <c r="N389" s="11"/>
      <c r="O389" s="11"/>
      <c r="P389" s="11"/>
      <c r="Q389" s="11"/>
      <c r="R389" s="12"/>
      <c r="S389" s="11"/>
      <c r="T389" s="13"/>
      <c r="U389" s="12"/>
      <c r="V389" s="12"/>
      <c r="W389" s="79">
        <v>600</v>
      </c>
      <c r="X389" s="66">
        <v>132246.42000000001</v>
      </c>
      <c r="Y389" s="66">
        <f t="shared" si="126"/>
        <v>2645</v>
      </c>
      <c r="Z389" s="119">
        <v>42.74</v>
      </c>
    </row>
    <row r="390" spans="1:26" x14ac:dyDescent="0.3">
      <c r="A390" s="1"/>
      <c r="B390" s="10" t="s">
        <v>738</v>
      </c>
      <c r="C390" s="11"/>
      <c r="D390" s="11"/>
      <c r="E390" s="11"/>
      <c r="F390" s="11">
        <v>30042000</v>
      </c>
      <c r="G390" s="11" t="s">
        <v>12</v>
      </c>
      <c r="H390" s="12">
        <v>64.52</v>
      </c>
      <c r="I390" s="11" t="s">
        <v>13</v>
      </c>
      <c r="J390" s="13">
        <v>1000</v>
      </c>
      <c r="K390" s="12">
        <v>147702.1</v>
      </c>
      <c r="L390" s="12">
        <v>2955</v>
      </c>
      <c r="M390" s="11" t="s">
        <v>401</v>
      </c>
      <c r="N390" s="11" t="s">
        <v>402</v>
      </c>
      <c r="O390" s="16">
        <v>46216</v>
      </c>
      <c r="P390" s="11" t="s">
        <v>739</v>
      </c>
      <c r="Q390" s="11"/>
      <c r="R390" s="12">
        <v>3.22</v>
      </c>
      <c r="S390" s="11" t="s">
        <v>13</v>
      </c>
      <c r="T390" s="13">
        <v>50</v>
      </c>
      <c r="U390" s="12">
        <f>(K390*T390)/J390</f>
        <v>7385.1049999999996</v>
      </c>
      <c r="V390" s="12">
        <f>(T390*L390)/J390</f>
        <v>147.75</v>
      </c>
      <c r="W390" s="79">
        <f>J390-T390-T391</f>
        <v>720</v>
      </c>
      <c r="X390" s="66">
        <f>K390-U390-U391</f>
        <v>72730.683099999995</v>
      </c>
      <c r="Y390" s="66">
        <f>L390-V390-V391</f>
        <v>2127.6</v>
      </c>
      <c r="Z390" s="67">
        <f>H390-R390-R391</f>
        <v>47.3</v>
      </c>
    </row>
    <row r="391" spans="1:26" x14ac:dyDescent="0.3">
      <c r="A391" s="1"/>
      <c r="B391" s="10"/>
      <c r="C391" s="11"/>
      <c r="D391" s="11"/>
      <c r="E391" s="11"/>
      <c r="F391" s="11"/>
      <c r="G391" s="11"/>
      <c r="H391" s="12"/>
      <c r="I391" s="11"/>
      <c r="J391" s="13"/>
      <c r="K391" s="12"/>
      <c r="L391" s="12"/>
      <c r="M391" s="11" t="s">
        <v>204</v>
      </c>
      <c r="N391" s="11" t="s">
        <v>205</v>
      </c>
      <c r="O391" s="16">
        <v>46212</v>
      </c>
      <c r="P391" s="11" t="s">
        <v>733</v>
      </c>
      <c r="Q391" s="11"/>
      <c r="R391" s="12">
        <v>14</v>
      </c>
      <c r="S391" s="11" t="s">
        <v>13</v>
      </c>
      <c r="T391" s="13">
        <v>230</v>
      </c>
      <c r="U391" s="12">
        <f>(K359*T391)/1000</f>
        <v>67586.311900000001</v>
      </c>
      <c r="V391" s="12">
        <f>(T391*L390)/J390</f>
        <v>679.65</v>
      </c>
      <c r="W391" s="79"/>
      <c r="X391" s="66"/>
      <c r="Y391" s="66"/>
      <c r="Z391" s="67"/>
    </row>
    <row r="392" spans="1:26" x14ac:dyDescent="0.3">
      <c r="A392" s="1"/>
      <c r="B392" s="10" t="s">
        <v>740</v>
      </c>
      <c r="C392" s="11"/>
      <c r="D392" s="11"/>
      <c r="E392" s="11"/>
      <c r="F392" s="11">
        <v>30049000</v>
      </c>
      <c r="G392" s="11" t="s">
        <v>12</v>
      </c>
      <c r="H392" s="12">
        <v>23.58</v>
      </c>
      <c r="I392" s="11" t="s">
        <v>13</v>
      </c>
      <c r="J392" s="13">
        <v>50</v>
      </c>
      <c r="K392" s="12">
        <v>130903.56</v>
      </c>
      <c r="L392" s="12">
        <v>2619</v>
      </c>
      <c r="M392" s="11"/>
      <c r="N392" s="11"/>
      <c r="O392" s="11"/>
      <c r="P392" s="11"/>
      <c r="Q392" s="11"/>
      <c r="R392" s="12"/>
      <c r="S392" s="11"/>
      <c r="T392" s="13"/>
      <c r="U392" s="12"/>
      <c r="V392" s="12"/>
      <c r="W392" s="79">
        <v>50</v>
      </c>
      <c r="X392" s="66">
        <v>130903.56</v>
      </c>
      <c r="Y392" s="66">
        <f t="shared" si="126"/>
        <v>2619</v>
      </c>
      <c r="Z392" s="119">
        <v>23.58</v>
      </c>
    </row>
    <row r="393" spans="1:26" x14ac:dyDescent="0.3">
      <c r="A393" s="1"/>
      <c r="B393" s="10" t="s">
        <v>741</v>
      </c>
      <c r="C393" s="11"/>
      <c r="D393" s="11"/>
      <c r="E393" s="11"/>
      <c r="F393" s="11">
        <v>30045000</v>
      </c>
      <c r="G393" s="11" t="s">
        <v>12</v>
      </c>
      <c r="H393" s="12">
        <v>32.01</v>
      </c>
      <c r="I393" s="11" t="s">
        <v>13</v>
      </c>
      <c r="J393" s="13">
        <v>350</v>
      </c>
      <c r="K393" s="12">
        <v>165282.37</v>
      </c>
      <c r="L393" s="12">
        <v>3306</v>
      </c>
      <c r="M393" s="11"/>
      <c r="N393" s="11"/>
      <c r="O393" s="11"/>
      <c r="P393" s="11"/>
      <c r="Q393" s="11"/>
      <c r="R393" s="12"/>
      <c r="S393" s="11"/>
      <c r="T393" s="13"/>
      <c r="U393" s="12"/>
      <c r="V393" s="12"/>
      <c r="W393" s="79">
        <v>350</v>
      </c>
      <c r="X393" s="66">
        <v>165282.37</v>
      </c>
      <c r="Y393" s="66">
        <f t="shared" si="126"/>
        <v>3306</v>
      </c>
      <c r="Z393" s="119">
        <v>32.01</v>
      </c>
    </row>
    <row r="394" spans="1:26" x14ac:dyDescent="0.3">
      <c r="A394" s="1"/>
      <c r="B394" s="10" t="s">
        <v>742</v>
      </c>
      <c r="C394" s="11"/>
      <c r="D394" s="11"/>
      <c r="E394" s="11"/>
      <c r="F394" s="11">
        <v>30045000</v>
      </c>
      <c r="G394" s="11" t="s">
        <v>12</v>
      </c>
      <c r="H394" s="12">
        <v>18.29</v>
      </c>
      <c r="I394" s="11" t="s">
        <v>13</v>
      </c>
      <c r="J394" s="13">
        <v>200</v>
      </c>
      <c r="K394" s="12">
        <v>154583.65</v>
      </c>
      <c r="L394" s="12">
        <v>3092</v>
      </c>
      <c r="M394" s="11"/>
      <c r="N394" s="11"/>
      <c r="O394" s="11"/>
      <c r="P394" s="11"/>
      <c r="Q394" s="11"/>
      <c r="R394" s="12"/>
      <c r="S394" s="11"/>
      <c r="T394" s="13"/>
      <c r="U394" s="12"/>
      <c r="V394" s="12"/>
      <c r="W394" s="79">
        <v>200</v>
      </c>
      <c r="X394" s="66">
        <v>154583.65</v>
      </c>
      <c r="Y394" s="66">
        <f t="shared" si="126"/>
        <v>3092</v>
      </c>
      <c r="Z394" s="119">
        <v>18.29</v>
      </c>
    </row>
    <row r="395" spans="1:26" x14ac:dyDescent="0.3">
      <c r="A395" s="1"/>
      <c r="B395" s="10"/>
      <c r="C395" s="11"/>
      <c r="D395" s="11"/>
      <c r="E395" s="11"/>
      <c r="F395" s="11"/>
      <c r="G395" s="11"/>
      <c r="H395" s="12"/>
      <c r="I395" s="11"/>
      <c r="J395" s="13"/>
      <c r="K395" s="12"/>
      <c r="L395" s="12"/>
      <c r="M395" s="11"/>
      <c r="N395" s="11"/>
      <c r="O395" s="11"/>
      <c r="P395" s="11"/>
      <c r="Q395" s="11"/>
      <c r="R395" s="12"/>
      <c r="S395" s="11"/>
      <c r="T395" s="13"/>
      <c r="U395" s="12"/>
      <c r="V395" s="12"/>
      <c r="W395" s="134"/>
      <c r="X395" s="68"/>
      <c r="Y395" s="150"/>
      <c r="Z395" s="109"/>
    </row>
    <row r="396" spans="1:26" x14ac:dyDescent="0.3">
      <c r="A396" s="74" t="s">
        <v>743</v>
      </c>
      <c r="B396" s="10" t="s">
        <v>744</v>
      </c>
      <c r="C396" s="15" t="s">
        <v>745</v>
      </c>
      <c r="D396" s="16">
        <v>46147</v>
      </c>
      <c r="E396" s="11" t="s">
        <v>746</v>
      </c>
      <c r="F396" s="11">
        <v>30049000</v>
      </c>
      <c r="G396" s="11" t="s">
        <v>146</v>
      </c>
      <c r="H396" s="12">
        <v>63</v>
      </c>
      <c r="I396" s="11" t="s">
        <v>13</v>
      </c>
      <c r="J396" s="13">
        <v>1500</v>
      </c>
      <c r="K396" s="12">
        <v>373745.63</v>
      </c>
      <c r="L396" s="12">
        <v>7725</v>
      </c>
      <c r="M396" s="11" t="s">
        <v>168</v>
      </c>
      <c r="N396" s="11" t="s">
        <v>169</v>
      </c>
      <c r="O396" s="16">
        <v>46252</v>
      </c>
      <c r="P396" s="11" t="s">
        <v>747</v>
      </c>
      <c r="Q396" s="11"/>
      <c r="R396" s="12">
        <v>42</v>
      </c>
      <c r="S396" s="11" t="s">
        <v>13</v>
      </c>
      <c r="T396" s="13">
        <v>1000</v>
      </c>
      <c r="U396" s="12">
        <f>(K396*T396)/J396</f>
        <v>249163.75333333333</v>
      </c>
      <c r="V396" s="12">
        <f>(T396*L396)/J396</f>
        <v>5150</v>
      </c>
      <c r="W396" s="79">
        <f>J396-T396</f>
        <v>500</v>
      </c>
      <c r="X396" s="66">
        <f>K396-U396</f>
        <v>124581.87666666668</v>
      </c>
      <c r="Y396" s="66">
        <f t="shared" ref="Y396" si="129">L396-V396</f>
        <v>2575</v>
      </c>
      <c r="Z396" s="67">
        <f>H396-R396</f>
        <v>21</v>
      </c>
    </row>
    <row r="397" spans="1:26" x14ac:dyDescent="0.3">
      <c r="A397" s="1"/>
      <c r="B397" s="10"/>
      <c r="C397" s="11"/>
      <c r="D397" s="11"/>
      <c r="E397" s="11"/>
      <c r="F397" s="11"/>
      <c r="G397" s="11"/>
      <c r="H397" s="12"/>
      <c r="I397" s="11"/>
      <c r="J397" s="13"/>
      <c r="K397" s="12"/>
      <c r="L397" s="12"/>
      <c r="M397" s="11"/>
      <c r="N397" s="11"/>
      <c r="O397" s="11"/>
      <c r="P397" s="11"/>
      <c r="Q397" s="11"/>
      <c r="R397" s="12"/>
      <c r="S397" s="11"/>
      <c r="T397" s="13"/>
      <c r="U397" s="12"/>
      <c r="V397" s="12"/>
      <c r="W397" s="134"/>
      <c r="X397" s="68"/>
      <c r="Y397" s="150"/>
      <c r="Z397" s="109"/>
    </row>
    <row r="398" spans="1:26" s="60" customFormat="1" x14ac:dyDescent="0.3">
      <c r="A398" s="14" t="s">
        <v>654</v>
      </c>
      <c r="B398" s="10" t="s">
        <v>748</v>
      </c>
      <c r="C398" s="15" t="s">
        <v>749</v>
      </c>
      <c r="D398" s="16">
        <v>46149</v>
      </c>
      <c r="E398" s="11" t="s">
        <v>750</v>
      </c>
      <c r="F398" s="11">
        <v>30049000</v>
      </c>
      <c r="G398" s="11" t="s">
        <v>12</v>
      </c>
      <c r="H398" s="12">
        <v>425</v>
      </c>
      <c r="I398" s="11" t="s">
        <v>13</v>
      </c>
      <c r="J398" s="13">
        <v>4000</v>
      </c>
      <c r="K398" s="12">
        <v>222078.23</v>
      </c>
      <c r="L398" s="12">
        <v>4692</v>
      </c>
      <c r="M398" s="32" t="s">
        <v>204</v>
      </c>
      <c r="N398" s="32" t="s">
        <v>205</v>
      </c>
      <c r="O398" s="31">
        <v>46216</v>
      </c>
      <c r="P398" s="32" t="s">
        <v>751</v>
      </c>
      <c r="Q398" s="59"/>
      <c r="R398" s="33">
        <v>97</v>
      </c>
      <c r="S398" s="32" t="s">
        <v>13</v>
      </c>
      <c r="T398" s="144">
        <v>920</v>
      </c>
      <c r="U398" s="12">
        <f>(K398*T398)/J398</f>
        <v>51077.992900000005</v>
      </c>
      <c r="V398" s="12">
        <f>(T398*L398)/J398</f>
        <v>1079.1600000000001</v>
      </c>
      <c r="W398" s="79">
        <f>J398-T398</f>
        <v>3080</v>
      </c>
      <c r="X398" s="66">
        <f>K398-U398</f>
        <v>171000.2371</v>
      </c>
      <c r="Y398" s="66">
        <f t="shared" ref="Y398" si="130">L398-V398</f>
        <v>3612.84</v>
      </c>
      <c r="Z398" s="67">
        <f>H398-R398</f>
        <v>328</v>
      </c>
    </row>
    <row r="399" spans="1:26" x14ac:dyDescent="0.3">
      <c r="A399" s="1"/>
      <c r="B399" s="10"/>
      <c r="C399" s="11"/>
      <c r="D399" s="11"/>
      <c r="E399" s="11"/>
      <c r="F399" s="11"/>
      <c r="G399" s="11"/>
      <c r="H399" s="12"/>
      <c r="I399" s="11"/>
      <c r="J399" s="13"/>
      <c r="K399" s="12"/>
      <c r="L399" s="12"/>
      <c r="M399" s="11"/>
      <c r="N399" s="11"/>
      <c r="O399" s="11"/>
      <c r="P399" s="11"/>
      <c r="Q399" s="11"/>
      <c r="R399" s="12"/>
      <c r="S399" s="11"/>
      <c r="T399" s="13"/>
      <c r="U399" s="12"/>
      <c r="V399" s="12"/>
      <c r="W399" s="134"/>
      <c r="X399" s="68"/>
      <c r="Y399" s="150"/>
      <c r="Z399" s="109"/>
    </row>
    <row r="400" spans="1:26" x14ac:dyDescent="0.3">
      <c r="A400" s="106" t="s">
        <v>752</v>
      </c>
      <c r="B400" s="93" t="s">
        <v>753</v>
      </c>
      <c r="C400" s="87" t="s">
        <v>754</v>
      </c>
      <c r="D400" s="88">
        <v>46134</v>
      </c>
      <c r="E400" s="89" t="s">
        <v>755</v>
      </c>
      <c r="F400" s="89">
        <v>90189000</v>
      </c>
      <c r="G400" s="89" t="s">
        <v>4</v>
      </c>
      <c r="H400" s="90">
        <v>8</v>
      </c>
      <c r="I400" s="89" t="s">
        <v>5</v>
      </c>
      <c r="J400" s="91">
        <v>8</v>
      </c>
      <c r="K400" s="90">
        <v>16000</v>
      </c>
      <c r="L400" s="90">
        <v>0</v>
      </c>
      <c r="M400" s="89" t="s">
        <v>201</v>
      </c>
      <c r="N400" s="89" t="s">
        <v>202</v>
      </c>
      <c r="O400" s="88">
        <v>46220</v>
      </c>
      <c r="P400" s="89" t="s">
        <v>756</v>
      </c>
      <c r="Q400" s="89"/>
      <c r="R400" s="90">
        <v>8</v>
      </c>
      <c r="S400" s="89" t="s">
        <v>5</v>
      </c>
      <c r="T400" s="91">
        <v>8</v>
      </c>
      <c r="U400" s="90">
        <v>16000</v>
      </c>
      <c r="V400" s="90">
        <v>0</v>
      </c>
      <c r="W400" s="79">
        <f>J400-T400</f>
        <v>0</v>
      </c>
      <c r="X400" s="66">
        <f>K400-U400</f>
        <v>0</v>
      </c>
      <c r="Y400" s="66">
        <f t="shared" ref="Y400" si="131">L400-V400</f>
        <v>0</v>
      </c>
      <c r="Z400" s="67">
        <f>H400-R400</f>
        <v>0</v>
      </c>
    </row>
    <row r="401" spans="1:26" x14ac:dyDescent="0.3">
      <c r="A401" s="1"/>
      <c r="B401" s="10"/>
      <c r="C401" s="11"/>
      <c r="D401" s="11"/>
      <c r="E401" s="11"/>
      <c r="F401" s="11"/>
      <c r="G401" s="11"/>
      <c r="H401" s="12"/>
      <c r="I401" s="11"/>
      <c r="J401" s="13"/>
      <c r="K401" s="12"/>
      <c r="L401" s="12"/>
      <c r="M401" s="11"/>
      <c r="N401" s="11"/>
      <c r="O401" s="11"/>
      <c r="P401" s="11"/>
      <c r="Q401" s="11"/>
      <c r="R401" s="12"/>
      <c r="S401" s="11"/>
      <c r="T401" s="13"/>
      <c r="U401" s="12"/>
      <c r="V401" s="12"/>
      <c r="W401" s="134"/>
      <c r="X401" s="68"/>
      <c r="Y401" s="150"/>
      <c r="Z401" s="109"/>
    </row>
    <row r="402" spans="1:26" x14ac:dyDescent="0.3">
      <c r="A402" s="1" t="s">
        <v>757</v>
      </c>
      <c r="B402" s="10" t="s">
        <v>758</v>
      </c>
      <c r="C402" s="15" t="s">
        <v>759</v>
      </c>
      <c r="D402" s="16">
        <v>46154</v>
      </c>
      <c r="E402" s="11" t="s">
        <v>760</v>
      </c>
      <c r="F402" s="11">
        <v>30049000</v>
      </c>
      <c r="G402" s="11" t="s">
        <v>90</v>
      </c>
      <c r="H402" s="12">
        <v>14.88</v>
      </c>
      <c r="I402" s="11" t="s">
        <v>13</v>
      </c>
      <c r="J402" s="13">
        <v>500</v>
      </c>
      <c r="K402" s="12">
        <v>179136.72</v>
      </c>
      <c r="L402" s="12">
        <v>3833</v>
      </c>
      <c r="M402" s="11"/>
      <c r="N402" s="11"/>
      <c r="O402" s="11"/>
      <c r="P402" s="11"/>
      <c r="Q402" s="11"/>
      <c r="R402" s="12"/>
      <c r="S402" s="11"/>
      <c r="T402" s="13"/>
      <c r="U402" s="12"/>
      <c r="V402" s="12"/>
      <c r="W402" s="79">
        <f t="shared" ref="W402:W404" si="132">J402-T402</f>
        <v>500</v>
      </c>
      <c r="X402" s="66">
        <f t="shared" ref="X402:X404" si="133">K402-U402</f>
        <v>179136.72</v>
      </c>
      <c r="Y402" s="66">
        <f t="shared" ref="Y402:Y404" si="134">L402-V402</f>
        <v>3833</v>
      </c>
      <c r="Z402" s="67">
        <f t="shared" ref="Z402:Z404" si="135">H402-R402</f>
        <v>14.88</v>
      </c>
    </row>
    <row r="403" spans="1:26" x14ac:dyDescent="0.3">
      <c r="A403" s="106"/>
      <c r="B403" s="93" t="s">
        <v>761</v>
      </c>
      <c r="C403" s="87"/>
      <c r="D403" s="88"/>
      <c r="E403" s="89"/>
      <c r="F403" s="89">
        <v>30049000</v>
      </c>
      <c r="G403" s="89" t="s">
        <v>90</v>
      </c>
      <c r="H403" s="90">
        <v>32.08</v>
      </c>
      <c r="I403" s="89" t="s">
        <v>13</v>
      </c>
      <c r="J403" s="91">
        <v>176</v>
      </c>
      <c r="K403" s="90">
        <v>386412.15</v>
      </c>
      <c r="L403" s="90">
        <v>7729</v>
      </c>
      <c r="M403" s="89" t="s">
        <v>168</v>
      </c>
      <c r="N403" s="89" t="s">
        <v>169</v>
      </c>
      <c r="O403" s="88">
        <v>46240</v>
      </c>
      <c r="P403" s="89" t="s">
        <v>762</v>
      </c>
      <c r="Q403" s="89"/>
      <c r="R403" s="90">
        <v>32.08</v>
      </c>
      <c r="S403" s="89" t="s">
        <v>13</v>
      </c>
      <c r="T403" s="91">
        <v>176</v>
      </c>
      <c r="U403" s="90">
        <v>386412.15</v>
      </c>
      <c r="V403" s="90">
        <v>7729</v>
      </c>
      <c r="W403" s="79">
        <f t="shared" si="132"/>
        <v>0</v>
      </c>
      <c r="X403" s="66">
        <f t="shared" si="133"/>
        <v>0</v>
      </c>
      <c r="Y403" s="66">
        <f t="shared" si="134"/>
        <v>0</v>
      </c>
      <c r="Z403" s="67">
        <f t="shared" si="135"/>
        <v>0</v>
      </c>
    </row>
    <row r="404" spans="1:26" x14ac:dyDescent="0.3">
      <c r="A404" s="1"/>
      <c r="B404" s="10" t="s">
        <v>763</v>
      </c>
      <c r="C404" s="11"/>
      <c r="D404" s="11"/>
      <c r="E404" s="11"/>
      <c r="F404" s="11">
        <v>30049000</v>
      </c>
      <c r="G404" s="11" t="s">
        <v>90</v>
      </c>
      <c r="H404" s="12">
        <v>14.04</v>
      </c>
      <c r="I404" s="11" t="s">
        <v>13</v>
      </c>
      <c r="J404" s="13">
        <v>200</v>
      </c>
      <c r="K404" s="12">
        <v>169031.27</v>
      </c>
      <c r="L404" s="12">
        <v>3381</v>
      </c>
      <c r="M404" s="11"/>
      <c r="N404" s="11"/>
      <c r="O404" s="11"/>
      <c r="P404" s="11"/>
      <c r="Q404" s="11"/>
      <c r="R404" s="12"/>
      <c r="S404" s="11"/>
      <c r="T404" s="13"/>
      <c r="U404" s="12"/>
      <c r="V404" s="12"/>
      <c r="W404" s="79">
        <f t="shared" si="132"/>
        <v>200</v>
      </c>
      <c r="X404" s="66">
        <f t="shared" si="133"/>
        <v>169031.27</v>
      </c>
      <c r="Y404" s="66">
        <f t="shared" si="134"/>
        <v>3381</v>
      </c>
      <c r="Z404" s="67">
        <f t="shared" si="135"/>
        <v>14.04</v>
      </c>
    </row>
    <row r="405" spans="1:26" x14ac:dyDescent="0.3">
      <c r="A405" s="1"/>
      <c r="B405" s="10"/>
      <c r="C405" s="11"/>
      <c r="D405" s="11"/>
      <c r="E405" s="11"/>
      <c r="F405" s="11"/>
      <c r="G405" s="11"/>
      <c r="H405" s="12"/>
      <c r="I405" s="11"/>
      <c r="J405" s="13"/>
      <c r="K405" s="12"/>
      <c r="L405" s="12"/>
      <c r="M405" s="11"/>
      <c r="N405" s="11"/>
      <c r="O405" s="11"/>
      <c r="P405" s="11"/>
      <c r="Q405" s="11"/>
      <c r="R405" s="12"/>
      <c r="S405" s="11"/>
      <c r="T405" s="13"/>
      <c r="U405" s="12"/>
      <c r="V405" s="12"/>
      <c r="W405" s="134"/>
      <c r="X405" s="68"/>
      <c r="Y405" s="150"/>
      <c r="Z405" s="109"/>
    </row>
    <row r="406" spans="1:26" x14ac:dyDescent="0.3">
      <c r="A406" s="106" t="s">
        <v>333</v>
      </c>
      <c r="B406" s="93" t="s">
        <v>764</v>
      </c>
      <c r="C406" s="87" t="s">
        <v>765</v>
      </c>
      <c r="D406" s="88">
        <v>46150</v>
      </c>
      <c r="E406" s="89" t="s">
        <v>766</v>
      </c>
      <c r="F406" s="89">
        <v>96032900</v>
      </c>
      <c r="G406" s="89" t="s">
        <v>4</v>
      </c>
      <c r="H406" s="90">
        <v>60</v>
      </c>
      <c r="I406" s="89" t="s">
        <v>5</v>
      </c>
      <c r="J406" s="91">
        <v>60</v>
      </c>
      <c r="K406" s="90">
        <v>93000</v>
      </c>
      <c r="L406" s="90">
        <v>0</v>
      </c>
      <c r="M406" s="89" t="s">
        <v>470</v>
      </c>
      <c r="N406" s="89" t="s">
        <v>471</v>
      </c>
      <c r="O406" s="88">
        <v>46237</v>
      </c>
      <c r="P406" s="89" t="s">
        <v>767</v>
      </c>
      <c r="Q406" s="89"/>
      <c r="R406" s="90">
        <v>40</v>
      </c>
      <c r="S406" s="89" t="s">
        <v>5</v>
      </c>
      <c r="T406" s="91">
        <v>40</v>
      </c>
      <c r="U406" s="90">
        <f>(K406*T406)/J406</f>
        <v>62000</v>
      </c>
      <c r="V406" s="90">
        <f>(T406*L406)/J406</f>
        <v>0</v>
      </c>
      <c r="W406" s="79">
        <f>J406-T406-T407</f>
        <v>0</v>
      </c>
      <c r="X406" s="66">
        <f>K406-U406-U407</f>
        <v>0</v>
      </c>
      <c r="Y406" s="66">
        <f>L406-V406-V407</f>
        <v>0</v>
      </c>
      <c r="Z406" s="67">
        <f>H406-R406-R407</f>
        <v>0</v>
      </c>
    </row>
    <row r="407" spans="1:26" x14ac:dyDescent="0.3">
      <c r="A407" s="106"/>
      <c r="B407" s="93"/>
      <c r="C407" s="87"/>
      <c r="D407" s="88"/>
      <c r="E407" s="89"/>
      <c r="F407" s="89"/>
      <c r="G407" s="89"/>
      <c r="H407" s="90"/>
      <c r="I407" s="89"/>
      <c r="J407" s="91"/>
      <c r="K407" s="90"/>
      <c r="L407" s="90"/>
      <c r="M407" s="89" t="s">
        <v>470</v>
      </c>
      <c r="N407" s="89" t="s">
        <v>471</v>
      </c>
      <c r="O407" s="88">
        <v>46237</v>
      </c>
      <c r="P407" s="89" t="s">
        <v>768</v>
      </c>
      <c r="Q407" s="89"/>
      <c r="R407" s="90">
        <v>20</v>
      </c>
      <c r="S407" s="89" t="s">
        <v>5</v>
      </c>
      <c r="T407" s="91">
        <v>20</v>
      </c>
      <c r="U407" s="90">
        <f>(K406*T407)/J406</f>
        <v>31000</v>
      </c>
      <c r="V407" s="90">
        <f>(T407*L406)/J406</f>
        <v>0</v>
      </c>
      <c r="W407" s="79"/>
      <c r="X407" s="66"/>
      <c r="Y407" s="66"/>
      <c r="Z407" s="67"/>
    </row>
    <row r="408" spans="1:26" x14ac:dyDescent="0.3">
      <c r="A408" s="1"/>
      <c r="B408" s="10"/>
      <c r="C408" s="11"/>
      <c r="D408" s="11"/>
      <c r="E408" s="11"/>
      <c r="F408" s="11"/>
      <c r="G408" s="11"/>
      <c r="H408" s="12"/>
      <c r="I408" s="11"/>
      <c r="J408" s="13"/>
      <c r="K408" s="12"/>
      <c r="L408" s="12"/>
      <c r="M408" s="11"/>
      <c r="N408" s="11"/>
      <c r="O408" s="11"/>
      <c r="P408" s="11"/>
      <c r="Q408" s="11"/>
      <c r="R408" s="12"/>
      <c r="S408" s="11"/>
      <c r="T408" s="13"/>
      <c r="U408" s="12"/>
      <c r="V408" s="12"/>
      <c r="W408" s="134"/>
      <c r="X408" s="68"/>
      <c r="Y408" s="150"/>
      <c r="Z408" s="109"/>
    </row>
    <row r="409" spans="1:26" x14ac:dyDescent="0.3">
      <c r="A409" s="1" t="s">
        <v>230</v>
      </c>
      <c r="B409" s="1" t="s">
        <v>769</v>
      </c>
      <c r="C409" s="15" t="s">
        <v>770</v>
      </c>
      <c r="D409" s="16">
        <v>46161</v>
      </c>
      <c r="E409" s="11" t="s">
        <v>771</v>
      </c>
      <c r="F409" s="11">
        <v>30049000</v>
      </c>
      <c r="G409" s="11" t="s">
        <v>228</v>
      </c>
      <c r="H409" s="12">
        <v>100.15</v>
      </c>
      <c r="I409" s="12" t="s">
        <v>13</v>
      </c>
      <c r="J409" s="13">
        <v>1930</v>
      </c>
      <c r="K409" s="12">
        <v>533288.91</v>
      </c>
      <c r="L409" s="12">
        <v>10916</v>
      </c>
      <c r="M409" s="11" t="s">
        <v>433</v>
      </c>
      <c r="N409" s="11" t="s">
        <v>434</v>
      </c>
      <c r="O409" s="16">
        <v>46244</v>
      </c>
      <c r="P409" s="11" t="s">
        <v>772</v>
      </c>
      <c r="Q409" s="11"/>
      <c r="R409" s="12">
        <v>89</v>
      </c>
      <c r="S409" s="12" t="s">
        <v>13</v>
      </c>
      <c r="T409" s="144">
        <v>1730</v>
      </c>
      <c r="U409" s="12">
        <f>(K409*T409)/J409</f>
        <v>478025.81051813473</v>
      </c>
      <c r="V409" s="12">
        <f>(T409*L409)/J409</f>
        <v>9784.8082901554408</v>
      </c>
      <c r="W409" s="79">
        <f>J409-T409</f>
        <v>200</v>
      </c>
      <c r="X409" s="66">
        <f>K409-U409</f>
        <v>55263.099481865298</v>
      </c>
      <c r="Y409" s="66">
        <f t="shared" ref="Y409" si="136">L409-V409</f>
        <v>1131.1917098445592</v>
      </c>
      <c r="Z409" s="67">
        <f>H409-R409</f>
        <v>11.150000000000006</v>
      </c>
    </row>
    <row r="410" spans="1:26" x14ac:dyDescent="0.3">
      <c r="A410" s="1"/>
      <c r="B410" s="1"/>
      <c r="C410" s="10"/>
      <c r="D410" s="11"/>
      <c r="E410" s="11"/>
      <c r="F410" s="11"/>
      <c r="G410" s="11"/>
      <c r="H410" s="11"/>
      <c r="I410" s="12"/>
      <c r="J410" s="11"/>
      <c r="K410" s="13"/>
      <c r="L410" s="13"/>
      <c r="M410" s="11"/>
      <c r="N410" s="148"/>
      <c r="O410" s="11"/>
      <c r="P410" s="11"/>
      <c r="Q410" s="11"/>
      <c r="R410" s="11"/>
      <c r="S410" s="12"/>
      <c r="T410" s="11"/>
      <c r="U410" s="13"/>
      <c r="V410" s="13"/>
      <c r="W410" s="82"/>
      <c r="X410" s="134"/>
      <c r="Y410" s="150">
        <f t="shared" si="126"/>
        <v>0</v>
      </c>
      <c r="Z410" s="129"/>
    </row>
    <row r="411" spans="1:26" x14ac:dyDescent="0.3">
      <c r="A411" s="1" t="s">
        <v>364</v>
      </c>
      <c r="B411" s="10" t="s">
        <v>773</v>
      </c>
      <c r="C411" s="15" t="s">
        <v>774</v>
      </c>
      <c r="D411" s="16">
        <v>46171</v>
      </c>
      <c r="E411" s="11" t="s">
        <v>775</v>
      </c>
      <c r="F411" s="11">
        <v>30049000</v>
      </c>
      <c r="G411" s="11" t="s">
        <v>368</v>
      </c>
      <c r="H411" s="12">
        <v>2787</v>
      </c>
      <c r="I411" s="11" t="s">
        <v>13</v>
      </c>
      <c r="J411" s="13">
        <v>12000</v>
      </c>
      <c r="K411" s="12">
        <v>3624845.87</v>
      </c>
      <c r="L411" s="12">
        <v>72747</v>
      </c>
      <c r="M411" s="11"/>
      <c r="N411" s="11"/>
      <c r="O411" s="11"/>
      <c r="P411" s="11"/>
      <c r="Q411" s="11"/>
      <c r="R411" s="12"/>
      <c r="S411" s="11"/>
      <c r="T411" s="13"/>
      <c r="U411" s="12"/>
      <c r="V411" s="12"/>
      <c r="W411" s="79">
        <f>J411-T411</f>
        <v>12000</v>
      </c>
      <c r="X411" s="66">
        <f>K411-U411</f>
        <v>3624845.87</v>
      </c>
      <c r="Y411" s="66">
        <f t="shared" si="126"/>
        <v>72747</v>
      </c>
      <c r="Z411" s="67">
        <f>H411-R411</f>
        <v>2787</v>
      </c>
    </row>
    <row r="412" spans="1:26" x14ac:dyDescent="0.3">
      <c r="A412" s="1"/>
      <c r="B412" s="10"/>
      <c r="C412" s="11"/>
      <c r="D412" s="11"/>
      <c r="E412" s="11"/>
      <c r="F412" s="11"/>
      <c r="G412" s="11"/>
      <c r="H412" s="12"/>
      <c r="I412" s="11"/>
      <c r="J412" s="13"/>
      <c r="K412" s="12"/>
      <c r="L412" s="12"/>
      <c r="M412" s="11"/>
      <c r="N412" s="11"/>
      <c r="O412" s="11"/>
      <c r="P412" s="11"/>
      <c r="Q412" s="11"/>
      <c r="R412" s="12"/>
      <c r="S412" s="11"/>
      <c r="T412" s="13"/>
      <c r="U412" s="12"/>
      <c r="V412" s="12"/>
      <c r="W412" s="134"/>
      <c r="X412" s="68"/>
      <c r="Y412" s="150"/>
      <c r="Z412" s="109"/>
    </row>
    <row r="413" spans="1:26" x14ac:dyDescent="0.3">
      <c r="A413" s="1" t="s">
        <v>364</v>
      </c>
      <c r="B413" s="10" t="s">
        <v>776</v>
      </c>
      <c r="C413" s="15" t="s">
        <v>777</v>
      </c>
      <c r="D413" s="16">
        <v>46175</v>
      </c>
      <c r="E413" s="11" t="s">
        <v>778</v>
      </c>
      <c r="F413" s="11">
        <v>65069900</v>
      </c>
      <c r="G413" s="11" t="s">
        <v>779</v>
      </c>
      <c r="H413" s="12">
        <v>224.84</v>
      </c>
      <c r="I413" s="11" t="s">
        <v>13</v>
      </c>
      <c r="J413" s="13">
        <v>2700</v>
      </c>
      <c r="K413" s="12">
        <v>1162618.2</v>
      </c>
      <c r="L413" s="12">
        <v>546682</v>
      </c>
      <c r="M413" s="11" t="s">
        <v>475</v>
      </c>
      <c r="N413" s="11" t="s">
        <v>476</v>
      </c>
      <c r="O413" s="16">
        <v>46217</v>
      </c>
      <c r="P413" s="11" t="s">
        <v>780</v>
      </c>
      <c r="Q413" s="11"/>
      <c r="R413" s="12">
        <v>184.87</v>
      </c>
      <c r="S413" s="11" t="s">
        <v>13</v>
      </c>
      <c r="T413" s="13">
        <v>2220</v>
      </c>
      <c r="U413" s="12">
        <f>(K413*T413)/J413</f>
        <v>955930.52</v>
      </c>
      <c r="V413" s="12">
        <f>(T413*L413)/J413</f>
        <v>449494.08888888889</v>
      </c>
      <c r="W413" s="79">
        <f>J413-T413</f>
        <v>480</v>
      </c>
      <c r="X413" s="66">
        <f>K413-U413</f>
        <v>206687.67999999993</v>
      </c>
      <c r="Y413" s="66">
        <f t="shared" ref="Y413" si="137">L413-V413</f>
        <v>97187.911111111112</v>
      </c>
      <c r="Z413" s="67">
        <f>H413-R413</f>
        <v>39.97</v>
      </c>
    </row>
    <row r="414" spans="1:26" x14ac:dyDescent="0.3">
      <c r="A414" s="1"/>
      <c r="B414" s="10" t="s">
        <v>781</v>
      </c>
      <c r="C414" s="11"/>
      <c r="D414" s="11"/>
      <c r="E414" s="11"/>
      <c r="F414" s="11">
        <v>38221900</v>
      </c>
      <c r="G414" s="11" t="s">
        <v>779</v>
      </c>
      <c r="H414" s="12">
        <v>65.48</v>
      </c>
      <c r="I414" s="11" t="s">
        <v>13</v>
      </c>
      <c r="J414" s="13">
        <v>20</v>
      </c>
      <c r="K414" s="12">
        <v>338496.4</v>
      </c>
      <c r="L414" s="12">
        <v>60930</v>
      </c>
      <c r="M414" s="11" t="s">
        <v>475</v>
      </c>
      <c r="N414" s="11" t="s">
        <v>476</v>
      </c>
      <c r="O414" s="16">
        <v>46217</v>
      </c>
      <c r="P414" s="11" t="s">
        <v>780</v>
      </c>
      <c r="Q414" s="11"/>
      <c r="R414" s="12">
        <v>55.66</v>
      </c>
      <c r="S414" s="11" t="s">
        <v>13</v>
      </c>
      <c r="T414" s="13">
        <v>17</v>
      </c>
      <c r="U414" s="12">
        <f t="shared" ref="U414:U415" si="138">(K414*T414)/J414</f>
        <v>287721.94000000006</v>
      </c>
      <c r="V414" s="12">
        <f t="shared" ref="V414:V415" si="139">(T414*L414)/J414</f>
        <v>51790.5</v>
      </c>
      <c r="W414" s="79">
        <f t="shared" ref="W414:W415" si="140">J414-T414</f>
        <v>3</v>
      </c>
      <c r="X414" s="66">
        <f t="shared" ref="X414:X415" si="141">K414-U414</f>
        <v>50774.459999999963</v>
      </c>
      <c r="Y414" s="66">
        <f t="shared" ref="Y414:Y415" si="142">L414-V414</f>
        <v>9139.5</v>
      </c>
      <c r="Z414" s="67">
        <f t="shared" ref="Z414:Z415" si="143">H414-R414</f>
        <v>9.8200000000000074</v>
      </c>
    </row>
    <row r="415" spans="1:26" x14ac:dyDescent="0.3">
      <c r="A415" s="106"/>
      <c r="B415" s="93" t="s">
        <v>782</v>
      </c>
      <c r="C415" s="89"/>
      <c r="D415" s="89"/>
      <c r="E415" s="89"/>
      <c r="F415" s="89">
        <v>33049900</v>
      </c>
      <c r="G415" s="89" t="s">
        <v>779</v>
      </c>
      <c r="H415" s="90">
        <v>5.4</v>
      </c>
      <c r="I415" s="89" t="s">
        <v>13</v>
      </c>
      <c r="J415" s="91">
        <v>49</v>
      </c>
      <c r="K415" s="90">
        <v>27910.400000000001</v>
      </c>
      <c r="L415" s="90">
        <v>16357</v>
      </c>
      <c r="M415" s="89" t="s">
        <v>475</v>
      </c>
      <c r="N415" s="89" t="s">
        <v>476</v>
      </c>
      <c r="O415" s="88">
        <v>46217</v>
      </c>
      <c r="P415" s="89" t="s">
        <v>780</v>
      </c>
      <c r="Q415" s="89"/>
      <c r="R415" s="90">
        <v>5.4</v>
      </c>
      <c r="S415" s="89" t="s">
        <v>13</v>
      </c>
      <c r="T415" s="91">
        <v>49</v>
      </c>
      <c r="U415" s="90">
        <f t="shared" si="138"/>
        <v>27910.400000000001</v>
      </c>
      <c r="V415" s="90">
        <f t="shared" si="139"/>
        <v>16357</v>
      </c>
      <c r="W415" s="79">
        <f t="shared" si="140"/>
        <v>0</v>
      </c>
      <c r="X415" s="66">
        <f t="shared" si="141"/>
        <v>0</v>
      </c>
      <c r="Y415" s="66">
        <f t="shared" si="142"/>
        <v>0</v>
      </c>
      <c r="Z415" s="67">
        <f t="shared" si="143"/>
        <v>0</v>
      </c>
    </row>
    <row r="416" spans="1:26" x14ac:dyDescent="0.3">
      <c r="A416" s="1"/>
      <c r="B416" s="10" t="s">
        <v>783</v>
      </c>
      <c r="C416" s="11"/>
      <c r="D416" s="11"/>
      <c r="E416" s="11"/>
      <c r="F416" s="11">
        <v>33049900</v>
      </c>
      <c r="G416" s="11" t="s">
        <v>779</v>
      </c>
      <c r="H416" s="12">
        <v>3.39</v>
      </c>
      <c r="I416" s="11" t="s">
        <v>13</v>
      </c>
      <c r="J416" s="13">
        <v>21</v>
      </c>
      <c r="K416" s="12">
        <v>17450.599999999999</v>
      </c>
      <c r="L416" s="12">
        <v>10228</v>
      </c>
      <c r="M416" s="11"/>
      <c r="N416" s="11"/>
      <c r="O416" s="11"/>
      <c r="P416" s="11"/>
      <c r="Q416" s="11"/>
      <c r="R416" s="12"/>
      <c r="S416" s="11"/>
      <c r="T416" s="13"/>
      <c r="U416" s="12"/>
      <c r="V416" s="12"/>
      <c r="W416" s="79">
        <v>21</v>
      </c>
      <c r="X416" s="66">
        <v>17450.599999999999</v>
      </c>
      <c r="Y416" s="66">
        <f t="shared" si="126"/>
        <v>10228</v>
      </c>
      <c r="Z416" s="119">
        <v>3.39</v>
      </c>
    </row>
    <row r="417" spans="1:26" x14ac:dyDescent="0.3">
      <c r="A417" s="1"/>
      <c r="B417" s="10" t="s">
        <v>784</v>
      </c>
      <c r="C417" s="11"/>
      <c r="D417" s="11"/>
      <c r="E417" s="11"/>
      <c r="F417" s="11">
        <v>56079000</v>
      </c>
      <c r="G417" s="11" t="s">
        <v>779</v>
      </c>
      <c r="H417" s="12">
        <v>5.89</v>
      </c>
      <c r="I417" s="11" t="s">
        <v>13</v>
      </c>
      <c r="J417" s="13">
        <v>10</v>
      </c>
      <c r="K417" s="12">
        <v>30459.24</v>
      </c>
      <c r="L417" s="12">
        <v>14317</v>
      </c>
      <c r="M417" s="11"/>
      <c r="N417" s="11"/>
      <c r="O417" s="11"/>
      <c r="P417" s="11"/>
      <c r="Q417" s="11"/>
      <c r="R417" s="12"/>
      <c r="S417" s="11"/>
      <c r="T417" s="13"/>
      <c r="U417" s="12"/>
      <c r="V417" s="12"/>
      <c r="W417" s="79">
        <v>10</v>
      </c>
      <c r="X417" s="66">
        <v>30459.24</v>
      </c>
      <c r="Y417" s="66">
        <f t="shared" si="126"/>
        <v>14317</v>
      </c>
      <c r="Z417" s="119">
        <v>5.89</v>
      </c>
    </row>
    <row r="418" spans="1:26" x14ac:dyDescent="0.3">
      <c r="A418" s="1"/>
      <c r="B418" s="10"/>
      <c r="C418" s="11"/>
      <c r="D418" s="11"/>
      <c r="E418" s="11"/>
      <c r="F418" s="11"/>
      <c r="G418" s="11"/>
      <c r="H418" s="12"/>
      <c r="I418" s="11"/>
      <c r="J418" s="13"/>
      <c r="K418" s="12"/>
      <c r="L418" s="12"/>
      <c r="M418" s="11"/>
      <c r="N418" s="11"/>
      <c r="O418" s="11"/>
      <c r="P418" s="11"/>
      <c r="Q418" s="11"/>
      <c r="R418" s="12"/>
      <c r="S418" s="11"/>
      <c r="T418" s="13"/>
      <c r="U418" s="12"/>
      <c r="V418" s="12"/>
      <c r="W418" s="134"/>
      <c r="X418" s="68"/>
      <c r="Y418" s="150"/>
      <c r="Z418" s="109"/>
    </row>
    <row r="419" spans="1:26" x14ac:dyDescent="0.3">
      <c r="A419" s="1" t="s">
        <v>785</v>
      </c>
      <c r="B419" s="10" t="s">
        <v>786</v>
      </c>
      <c r="C419" s="164" t="s">
        <v>787</v>
      </c>
      <c r="D419" s="16">
        <v>46168</v>
      </c>
      <c r="E419" s="11" t="s">
        <v>788</v>
      </c>
      <c r="F419" s="11">
        <v>48201000</v>
      </c>
      <c r="G419" s="11" t="s">
        <v>4</v>
      </c>
      <c r="H419" s="12">
        <v>28</v>
      </c>
      <c r="I419" s="11" t="s">
        <v>13</v>
      </c>
      <c r="J419" s="13">
        <v>60</v>
      </c>
      <c r="K419" s="12">
        <v>10800</v>
      </c>
      <c r="L419" s="12">
        <v>0</v>
      </c>
      <c r="M419" s="11" t="s">
        <v>470</v>
      </c>
      <c r="N419" s="11" t="s">
        <v>471</v>
      </c>
      <c r="O419" s="16">
        <v>46237</v>
      </c>
      <c r="P419" s="11" t="s">
        <v>767</v>
      </c>
      <c r="Q419" s="11"/>
      <c r="R419" s="12">
        <v>9</v>
      </c>
      <c r="S419" s="11" t="s">
        <v>13</v>
      </c>
      <c r="T419" s="13">
        <v>20</v>
      </c>
      <c r="U419" s="12">
        <f t="shared" ref="U419" si="144">(K419*T419)/J419</f>
        <v>3600</v>
      </c>
      <c r="V419" s="12">
        <f t="shared" ref="V419" si="145">(T419*L419)/J419</f>
        <v>0</v>
      </c>
      <c r="W419" s="79">
        <f>J419-T419-T420</f>
        <v>30</v>
      </c>
      <c r="X419" s="66">
        <f>K419-U419-U420</f>
        <v>5400</v>
      </c>
      <c r="Y419" s="66">
        <f>L419-V419-V420</f>
        <v>0</v>
      </c>
      <c r="Z419" s="67">
        <f>H419-R419-R420</f>
        <v>15</v>
      </c>
    </row>
    <row r="420" spans="1:26" x14ac:dyDescent="0.3">
      <c r="A420" s="1"/>
      <c r="B420" s="10"/>
      <c r="C420" s="15"/>
      <c r="D420" s="16"/>
      <c r="E420" s="11"/>
      <c r="F420" s="11"/>
      <c r="G420" s="11"/>
      <c r="H420" s="12"/>
      <c r="I420" s="11"/>
      <c r="J420" s="13"/>
      <c r="K420" s="12"/>
      <c r="L420" s="12"/>
      <c r="M420" s="11" t="s">
        <v>470</v>
      </c>
      <c r="N420" s="11" t="s">
        <v>471</v>
      </c>
      <c r="O420" s="16">
        <v>46237</v>
      </c>
      <c r="P420" s="11" t="s">
        <v>768</v>
      </c>
      <c r="Q420" s="11"/>
      <c r="R420" s="12">
        <v>4</v>
      </c>
      <c r="S420" s="11" t="s">
        <v>13</v>
      </c>
      <c r="T420" s="13">
        <v>10</v>
      </c>
      <c r="U420" s="12">
        <f>(K419*T420)/J419</f>
        <v>1800</v>
      </c>
      <c r="V420" s="12">
        <f>(T420*L419)/J419</f>
        <v>0</v>
      </c>
      <c r="W420" s="79"/>
      <c r="X420" s="66"/>
      <c r="Y420" s="66"/>
      <c r="Z420" s="67"/>
    </row>
    <row r="421" spans="1:26" x14ac:dyDescent="0.3">
      <c r="A421" s="1"/>
      <c r="B421" s="10" t="s">
        <v>789</v>
      </c>
      <c r="C421" s="11"/>
      <c r="D421" s="11"/>
      <c r="E421" s="11"/>
      <c r="F421" s="11">
        <v>39241000</v>
      </c>
      <c r="G421" s="11" t="s">
        <v>4</v>
      </c>
      <c r="H421" s="12">
        <v>26</v>
      </c>
      <c r="I421" s="11" t="s">
        <v>13</v>
      </c>
      <c r="J421" s="13">
        <v>600</v>
      </c>
      <c r="K421" s="12">
        <v>19800</v>
      </c>
      <c r="L421" s="12">
        <v>0</v>
      </c>
      <c r="M421" s="11" t="s">
        <v>470</v>
      </c>
      <c r="N421" s="11" t="s">
        <v>471</v>
      </c>
      <c r="O421" s="16">
        <v>46237</v>
      </c>
      <c r="P421" s="11" t="s">
        <v>767</v>
      </c>
      <c r="Q421" s="11"/>
      <c r="R421" s="12">
        <v>8</v>
      </c>
      <c r="S421" s="11" t="s">
        <v>13</v>
      </c>
      <c r="T421" s="13">
        <v>200</v>
      </c>
      <c r="U421" s="12">
        <f t="shared" ref="U421:U423" si="146">(K421*T421)/J421</f>
        <v>6600</v>
      </c>
      <c r="V421" s="12">
        <f t="shared" ref="V421:V423" si="147">(T421*L421)/J421</f>
        <v>0</v>
      </c>
      <c r="W421" s="79">
        <f>J421-T421-T422</f>
        <v>300</v>
      </c>
      <c r="X421" s="66">
        <f>K421-U421-U422</f>
        <v>9900</v>
      </c>
      <c r="Y421" s="66">
        <f>L421-V421-V422</f>
        <v>0</v>
      </c>
      <c r="Z421" s="67">
        <f>H421-R421-R422</f>
        <v>14</v>
      </c>
    </row>
    <row r="422" spans="1:26" x14ac:dyDescent="0.3">
      <c r="A422" s="1"/>
      <c r="B422" s="10"/>
      <c r="C422" s="11"/>
      <c r="D422" s="11"/>
      <c r="E422" s="11"/>
      <c r="F422" s="11"/>
      <c r="G422" s="11"/>
      <c r="H422" s="12"/>
      <c r="I422" s="11"/>
      <c r="J422" s="13"/>
      <c r="K422" s="12"/>
      <c r="L422" s="12"/>
      <c r="M422" s="11" t="s">
        <v>470</v>
      </c>
      <c r="N422" s="11" t="s">
        <v>471</v>
      </c>
      <c r="O422" s="16">
        <v>46237</v>
      </c>
      <c r="P422" s="11" t="s">
        <v>768</v>
      </c>
      <c r="Q422" s="11"/>
      <c r="R422" s="12">
        <v>4</v>
      </c>
      <c r="S422" s="11" t="s">
        <v>13</v>
      </c>
      <c r="T422" s="13">
        <v>100</v>
      </c>
      <c r="U422" s="12">
        <f>(K421*T422)/J421</f>
        <v>3300</v>
      </c>
      <c r="V422" s="12">
        <f>(T422*L421)/J421</f>
        <v>0</v>
      </c>
      <c r="W422" s="79"/>
      <c r="X422" s="66"/>
      <c r="Y422" s="66"/>
      <c r="Z422" s="67"/>
    </row>
    <row r="423" spans="1:26" x14ac:dyDescent="0.3">
      <c r="A423" s="1"/>
      <c r="B423" s="10" t="s">
        <v>790</v>
      </c>
      <c r="C423" s="11"/>
      <c r="D423" s="11"/>
      <c r="E423" s="11"/>
      <c r="F423" s="11">
        <v>39241000</v>
      </c>
      <c r="G423" s="11" t="s">
        <v>4</v>
      </c>
      <c r="H423" s="12">
        <v>19</v>
      </c>
      <c r="I423" s="11" t="s">
        <v>13</v>
      </c>
      <c r="J423" s="13">
        <v>600</v>
      </c>
      <c r="K423" s="12">
        <v>15000</v>
      </c>
      <c r="L423" s="12">
        <v>0</v>
      </c>
      <c r="M423" s="11" t="s">
        <v>470</v>
      </c>
      <c r="N423" s="11" t="s">
        <v>471</v>
      </c>
      <c r="O423" s="16">
        <v>46237</v>
      </c>
      <c r="P423" s="11" t="s">
        <v>767</v>
      </c>
      <c r="Q423" s="11"/>
      <c r="R423" s="12">
        <v>6</v>
      </c>
      <c r="S423" s="11" t="s">
        <v>13</v>
      </c>
      <c r="T423" s="13">
        <v>200</v>
      </c>
      <c r="U423" s="12">
        <f t="shared" si="146"/>
        <v>5000</v>
      </c>
      <c r="V423" s="12">
        <f t="shared" si="147"/>
        <v>0</v>
      </c>
      <c r="W423" s="79">
        <f>J423-T423-T424</f>
        <v>300</v>
      </c>
      <c r="X423" s="66">
        <f>K423-U423-U424</f>
        <v>7500</v>
      </c>
      <c r="Y423" s="66">
        <f>L423-V423-V424</f>
        <v>0</v>
      </c>
      <c r="Z423" s="67">
        <f>H423-R423-R424</f>
        <v>10</v>
      </c>
    </row>
    <row r="424" spans="1:26" x14ac:dyDescent="0.3">
      <c r="A424" s="1"/>
      <c r="B424" s="10"/>
      <c r="C424" s="11"/>
      <c r="D424" s="11"/>
      <c r="E424" s="11"/>
      <c r="F424" s="11"/>
      <c r="G424" s="11"/>
      <c r="H424" s="12"/>
      <c r="I424" s="11"/>
      <c r="J424" s="13"/>
      <c r="K424" s="12"/>
      <c r="L424" s="12"/>
      <c r="M424" s="11" t="s">
        <v>470</v>
      </c>
      <c r="N424" s="11" t="s">
        <v>471</v>
      </c>
      <c r="O424" s="16">
        <v>46237</v>
      </c>
      <c r="P424" s="11" t="s">
        <v>768</v>
      </c>
      <c r="Q424" s="11"/>
      <c r="R424" s="12">
        <v>3</v>
      </c>
      <c r="S424" s="11" t="s">
        <v>13</v>
      </c>
      <c r="T424" s="13">
        <v>100</v>
      </c>
      <c r="U424" s="12">
        <f>(K423*T424)/J423</f>
        <v>2500</v>
      </c>
      <c r="V424" s="12">
        <f>(T424*L423)/J423</f>
        <v>0</v>
      </c>
      <c r="W424" s="79"/>
      <c r="X424" s="66"/>
      <c r="Y424" s="66"/>
      <c r="Z424" s="67"/>
    </row>
    <row r="425" spans="1:26" x14ac:dyDescent="0.3">
      <c r="A425" s="1"/>
      <c r="B425" s="73" t="s">
        <v>791</v>
      </c>
      <c r="C425" s="11"/>
      <c r="D425" s="11"/>
      <c r="E425" s="11"/>
      <c r="F425" s="11">
        <v>39241000</v>
      </c>
      <c r="G425" s="11" t="s">
        <v>4</v>
      </c>
      <c r="H425" s="12">
        <v>4</v>
      </c>
      <c r="I425" s="11" t="s">
        <v>13</v>
      </c>
      <c r="J425" s="13">
        <v>1200</v>
      </c>
      <c r="K425" s="12">
        <v>3600</v>
      </c>
      <c r="L425" s="12">
        <v>0</v>
      </c>
      <c r="M425" s="11" t="s">
        <v>470</v>
      </c>
      <c r="N425" s="11" t="s">
        <v>471</v>
      </c>
      <c r="O425" s="16">
        <v>46237</v>
      </c>
      <c r="P425" s="11" t="s">
        <v>767</v>
      </c>
      <c r="Q425" s="11"/>
      <c r="R425" s="12">
        <v>1</v>
      </c>
      <c r="S425" s="11" t="s">
        <v>13</v>
      </c>
      <c r="T425" s="13">
        <v>400</v>
      </c>
      <c r="U425" s="12">
        <f t="shared" ref="U425" si="148">(K425*T425)/J425</f>
        <v>1200</v>
      </c>
      <c r="V425" s="12">
        <f t="shared" ref="V425" si="149">(T425*L425)/J425</f>
        <v>0</v>
      </c>
      <c r="W425" s="79">
        <f>J425-T425-T426</f>
        <v>600</v>
      </c>
      <c r="X425" s="66">
        <f>K425-U425-U426</f>
        <v>1800</v>
      </c>
      <c r="Y425" s="66">
        <f>L425-V425-V426</f>
        <v>0</v>
      </c>
      <c r="Z425" s="67">
        <f>H425-R425-R426</f>
        <v>2.4</v>
      </c>
    </row>
    <row r="426" spans="1:26" x14ac:dyDescent="0.3">
      <c r="A426" s="1"/>
      <c r="B426" s="73"/>
      <c r="C426" s="11"/>
      <c r="D426" s="11"/>
      <c r="E426" s="11"/>
      <c r="F426" s="11"/>
      <c r="G426" s="11"/>
      <c r="H426" s="12"/>
      <c r="I426" s="11"/>
      <c r="J426" s="13"/>
      <c r="K426" s="12"/>
      <c r="L426" s="12"/>
      <c r="M426" s="11" t="s">
        <v>470</v>
      </c>
      <c r="N426" s="11" t="s">
        <v>471</v>
      </c>
      <c r="O426" s="16">
        <v>46237</v>
      </c>
      <c r="P426" s="11" t="s">
        <v>768</v>
      </c>
      <c r="Q426" s="11"/>
      <c r="R426" s="12">
        <v>0.6</v>
      </c>
      <c r="S426" s="11" t="s">
        <v>13</v>
      </c>
      <c r="T426" s="13">
        <v>200</v>
      </c>
      <c r="U426" s="12">
        <f>(K425*T426)/J425</f>
        <v>600</v>
      </c>
      <c r="V426" s="12">
        <f>(T426*L425)/J425</f>
        <v>0</v>
      </c>
      <c r="W426" s="79"/>
      <c r="X426" s="66"/>
      <c r="Y426" s="66"/>
      <c r="Z426" s="67"/>
    </row>
    <row r="427" spans="1:26" x14ac:dyDescent="0.3">
      <c r="A427" s="1"/>
      <c r="B427" s="73" t="s">
        <v>792</v>
      </c>
      <c r="C427" s="11"/>
      <c r="D427" s="11"/>
      <c r="E427" s="11"/>
      <c r="F427" s="11">
        <v>39241000</v>
      </c>
      <c r="G427" s="11" t="s">
        <v>4</v>
      </c>
      <c r="H427" s="12">
        <v>25</v>
      </c>
      <c r="I427" s="11" t="s">
        <v>13</v>
      </c>
      <c r="J427" s="13">
        <v>420</v>
      </c>
      <c r="K427" s="12">
        <v>11340</v>
      </c>
      <c r="L427" s="12">
        <v>0</v>
      </c>
      <c r="M427" s="11" t="s">
        <v>470</v>
      </c>
      <c r="N427" s="11" t="s">
        <v>471</v>
      </c>
      <c r="O427" s="16">
        <v>46237</v>
      </c>
      <c r="P427" s="11" t="s">
        <v>767</v>
      </c>
      <c r="Q427" s="11"/>
      <c r="R427" s="12">
        <v>8</v>
      </c>
      <c r="S427" s="11" t="s">
        <v>13</v>
      </c>
      <c r="T427" s="13">
        <v>140</v>
      </c>
      <c r="U427" s="12">
        <f>(K425*T427)/J427</f>
        <v>1200</v>
      </c>
      <c r="V427" s="12">
        <f t="shared" ref="V427" si="150">(T427*L427)/J427</f>
        <v>0</v>
      </c>
      <c r="W427" s="79">
        <f>J427-T427-T428</f>
        <v>210</v>
      </c>
      <c r="X427" s="66">
        <f>K427-U427-U428</f>
        <v>8250</v>
      </c>
      <c r="Y427" s="66">
        <f>L427-V427-V428</f>
        <v>0</v>
      </c>
      <c r="Z427" s="67">
        <f>H427-R427-R428</f>
        <v>13</v>
      </c>
    </row>
    <row r="428" spans="1:26" x14ac:dyDescent="0.3">
      <c r="A428" s="1"/>
      <c r="B428" s="73"/>
      <c r="C428" s="11"/>
      <c r="D428" s="11"/>
      <c r="E428" s="11"/>
      <c r="F428" s="11"/>
      <c r="G428" s="11"/>
      <c r="H428" s="12"/>
      <c r="I428" s="11"/>
      <c r="J428" s="13"/>
      <c r="K428" s="12"/>
      <c r="L428" s="12"/>
      <c r="M428" s="11" t="s">
        <v>470</v>
      </c>
      <c r="N428" s="11" t="s">
        <v>471</v>
      </c>
      <c r="O428" s="16">
        <v>46237</v>
      </c>
      <c r="P428" s="11" t="s">
        <v>768</v>
      </c>
      <c r="Q428" s="11"/>
      <c r="R428" s="12">
        <v>4</v>
      </c>
      <c r="S428" s="11" t="s">
        <v>13</v>
      </c>
      <c r="T428" s="13">
        <v>70</v>
      </c>
      <c r="U428" s="12">
        <f>(K427*T428)/J427</f>
        <v>1890</v>
      </c>
      <c r="V428" s="12">
        <f>(T428*L427)/J427</f>
        <v>0</v>
      </c>
      <c r="W428" s="79"/>
      <c r="X428" s="66"/>
      <c r="Y428" s="66"/>
      <c r="Z428" s="67"/>
    </row>
    <row r="429" spans="1:26" x14ac:dyDescent="0.3">
      <c r="A429" s="1"/>
      <c r="B429" s="73" t="s">
        <v>793</v>
      </c>
      <c r="C429" s="11"/>
      <c r="D429" s="11"/>
      <c r="E429" s="11"/>
      <c r="F429" s="11">
        <v>39241000</v>
      </c>
      <c r="G429" s="11" t="s">
        <v>4</v>
      </c>
      <c r="H429" s="12">
        <v>336</v>
      </c>
      <c r="I429" s="11" t="s">
        <v>13</v>
      </c>
      <c r="J429" s="13">
        <v>420</v>
      </c>
      <c r="K429" s="12">
        <v>189000</v>
      </c>
      <c r="L429" s="12">
        <v>0</v>
      </c>
      <c r="M429" s="11" t="s">
        <v>470</v>
      </c>
      <c r="N429" s="11" t="s">
        <v>471</v>
      </c>
      <c r="O429" s="16">
        <v>46237</v>
      </c>
      <c r="P429" s="11" t="s">
        <v>767</v>
      </c>
      <c r="Q429" s="11"/>
      <c r="R429" s="12">
        <v>112</v>
      </c>
      <c r="S429" s="11" t="s">
        <v>13</v>
      </c>
      <c r="T429" s="13">
        <v>140</v>
      </c>
      <c r="U429" s="12">
        <f t="shared" ref="U429" si="151">(K429*T429)/J429</f>
        <v>63000</v>
      </c>
      <c r="V429" s="12">
        <f t="shared" ref="V429" si="152">(T429*L429)/J429</f>
        <v>0</v>
      </c>
      <c r="W429" s="79">
        <f>J429-T429-T430</f>
        <v>210</v>
      </c>
      <c r="X429" s="66">
        <f>K429-U429-U430</f>
        <v>94500</v>
      </c>
      <c r="Y429" s="66">
        <f>L429-V429-V430</f>
        <v>0</v>
      </c>
      <c r="Z429" s="67">
        <f>H429-R429-R430</f>
        <v>168</v>
      </c>
    </row>
    <row r="430" spans="1:26" x14ac:dyDescent="0.3">
      <c r="A430" s="1"/>
      <c r="B430" s="73"/>
      <c r="C430" s="11"/>
      <c r="D430" s="11"/>
      <c r="E430" s="11"/>
      <c r="F430" s="11"/>
      <c r="G430" s="11"/>
      <c r="H430" s="12"/>
      <c r="I430" s="11"/>
      <c r="J430" s="13"/>
      <c r="K430" s="12"/>
      <c r="L430" s="12"/>
      <c r="M430" s="11" t="s">
        <v>470</v>
      </c>
      <c r="N430" s="11" t="s">
        <v>471</v>
      </c>
      <c r="O430" s="16">
        <v>46237</v>
      </c>
      <c r="P430" s="11" t="s">
        <v>768</v>
      </c>
      <c r="Q430" s="11"/>
      <c r="R430" s="12">
        <v>56</v>
      </c>
      <c r="S430" s="11" t="s">
        <v>13</v>
      </c>
      <c r="T430" s="13">
        <v>70</v>
      </c>
      <c r="U430" s="12">
        <f>(K429*T430)/J429</f>
        <v>31500</v>
      </c>
      <c r="V430" s="12">
        <f>(T430*L429)/J429</f>
        <v>0</v>
      </c>
      <c r="W430" s="79"/>
      <c r="X430" s="66"/>
      <c r="Y430" s="66"/>
      <c r="Z430" s="67"/>
    </row>
    <row r="431" spans="1:26" x14ac:dyDescent="0.3">
      <c r="A431" s="1"/>
      <c r="B431" s="73" t="s">
        <v>794</v>
      </c>
      <c r="C431" s="11"/>
      <c r="D431" s="11"/>
      <c r="E431" s="11"/>
      <c r="F431" s="11">
        <v>39233000</v>
      </c>
      <c r="G431" s="11" t="s">
        <v>4</v>
      </c>
      <c r="H431" s="12">
        <v>33</v>
      </c>
      <c r="I431" s="11" t="s">
        <v>13</v>
      </c>
      <c r="J431" s="13">
        <v>120</v>
      </c>
      <c r="K431" s="12">
        <v>28800</v>
      </c>
      <c r="L431" s="12">
        <v>0</v>
      </c>
      <c r="M431" s="11" t="s">
        <v>470</v>
      </c>
      <c r="N431" s="11" t="s">
        <v>471</v>
      </c>
      <c r="O431" s="16">
        <v>46237</v>
      </c>
      <c r="P431" s="11" t="s">
        <v>767</v>
      </c>
      <c r="Q431" s="11"/>
      <c r="R431" s="12">
        <v>11</v>
      </c>
      <c r="S431" s="11" t="s">
        <v>13</v>
      </c>
      <c r="T431" s="13">
        <v>40</v>
      </c>
      <c r="U431" s="12">
        <f t="shared" ref="U431" si="153">(K431*T431)/J431</f>
        <v>9600</v>
      </c>
      <c r="V431" s="12">
        <f t="shared" ref="V431" si="154">(T431*L431)/J431</f>
        <v>0</v>
      </c>
      <c r="W431" s="79">
        <f>J431-T431-T432</f>
        <v>60</v>
      </c>
      <c r="X431" s="66">
        <f>K431-U431-U432</f>
        <v>14400</v>
      </c>
      <c r="Y431" s="66">
        <f>L431-V431-V432</f>
        <v>0</v>
      </c>
      <c r="Z431" s="67">
        <f>H431-R431-R432</f>
        <v>17</v>
      </c>
    </row>
    <row r="432" spans="1:26" x14ac:dyDescent="0.3">
      <c r="A432" s="1"/>
      <c r="B432" s="73"/>
      <c r="C432" s="11"/>
      <c r="D432" s="11"/>
      <c r="E432" s="11"/>
      <c r="F432" s="11"/>
      <c r="G432" s="11"/>
      <c r="H432" s="12"/>
      <c r="I432" s="11"/>
      <c r="J432" s="13"/>
      <c r="K432" s="12"/>
      <c r="L432" s="12"/>
      <c r="M432" s="11" t="s">
        <v>470</v>
      </c>
      <c r="N432" s="11" t="s">
        <v>471</v>
      </c>
      <c r="O432" s="16">
        <v>46237</v>
      </c>
      <c r="P432" s="11" t="s">
        <v>768</v>
      </c>
      <c r="Q432" s="11"/>
      <c r="R432" s="12">
        <v>5</v>
      </c>
      <c r="S432" s="11" t="s">
        <v>13</v>
      </c>
      <c r="T432" s="13">
        <v>20</v>
      </c>
      <c r="U432" s="12">
        <f>(K431*T432)/J431</f>
        <v>4800</v>
      </c>
      <c r="V432" s="12">
        <f>(T432*L431)/J431</f>
        <v>0</v>
      </c>
      <c r="W432" s="79"/>
      <c r="X432" s="66"/>
      <c r="Y432" s="66"/>
      <c r="Z432" s="67"/>
    </row>
    <row r="433" spans="1:26" s="60" customFormat="1" x14ac:dyDescent="0.3">
      <c r="A433" s="214"/>
      <c r="B433" s="215" t="s">
        <v>795</v>
      </c>
      <c r="C433" s="59"/>
      <c r="D433" s="59"/>
      <c r="E433" s="59"/>
      <c r="F433" s="59">
        <v>84212100</v>
      </c>
      <c r="G433" s="59" t="s">
        <v>4</v>
      </c>
      <c r="H433" s="61">
        <v>30</v>
      </c>
      <c r="I433" s="59" t="s">
        <v>5</v>
      </c>
      <c r="J433" s="62">
        <v>30</v>
      </c>
      <c r="K433" s="61">
        <v>150000</v>
      </c>
      <c r="L433" s="61">
        <v>0</v>
      </c>
      <c r="M433" s="59" t="s">
        <v>470</v>
      </c>
      <c r="N433" s="59" t="s">
        <v>471</v>
      </c>
      <c r="O433" s="165">
        <v>46237</v>
      </c>
      <c r="P433" s="59" t="s">
        <v>767</v>
      </c>
      <c r="Q433" s="59"/>
      <c r="R433" s="61">
        <v>20</v>
      </c>
      <c r="S433" s="59" t="s">
        <v>5</v>
      </c>
      <c r="T433" s="62">
        <v>20</v>
      </c>
      <c r="U433" s="61">
        <f t="shared" ref="U433" si="155">(K433*T433)/J433</f>
        <v>100000</v>
      </c>
      <c r="V433" s="61">
        <f t="shared" ref="V433" si="156">(T433*L433)/J433</f>
        <v>0</v>
      </c>
      <c r="W433" s="216">
        <f>J433-T433-T434</f>
        <v>0</v>
      </c>
      <c r="X433" s="217">
        <f>K433-U433-U434</f>
        <v>0</v>
      </c>
      <c r="Y433" s="217">
        <f>L433-V433-V434</f>
        <v>0</v>
      </c>
      <c r="Z433" s="84">
        <f>H433-R433-R434</f>
        <v>-10</v>
      </c>
    </row>
    <row r="434" spans="1:26" x14ac:dyDescent="0.3">
      <c r="A434" s="1"/>
      <c r="B434" s="73"/>
      <c r="C434" s="11"/>
      <c r="D434" s="11"/>
      <c r="E434" s="11"/>
      <c r="F434" s="11"/>
      <c r="G434" s="11"/>
      <c r="H434" s="12"/>
      <c r="I434" s="11"/>
      <c r="J434" s="13"/>
      <c r="K434" s="12"/>
      <c r="L434" s="12"/>
      <c r="M434" s="11" t="s">
        <v>470</v>
      </c>
      <c r="N434" s="11" t="s">
        <v>471</v>
      </c>
      <c r="O434" s="16">
        <v>46237</v>
      </c>
      <c r="P434" s="11" t="s">
        <v>768</v>
      </c>
      <c r="Q434" s="11"/>
      <c r="R434" s="12">
        <v>20</v>
      </c>
      <c r="S434" s="11" t="s">
        <v>5</v>
      </c>
      <c r="T434" s="13">
        <v>10</v>
      </c>
      <c r="U434" s="12">
        <f>(K433*T434)/J433</f>
        <v>50000</v>
      </c>
      <c r="V434" s="12">
        <f>(T434*L433)/J433</f>
        <v>0</v>
      </c>
      <c r="W434" s="79"/>
      <c r="X434" s="66"/>
      <c r="Y434" s="66"/>
      <c r="Z434" s="67"/>
    </row>
    <row r="435" spans="1:26" x14ac:dyDescent="0.3">
      <c r="A435" s="1"/>
      <c r="B435" s="73" t="s">
        <v>796</v>
      </c>
      <c r="C435" s="11"/>
      <c r="D435" s="11"/>
      <c r="E435" s="11"/>
      <c r="F435" s="11">
        <v>39249000</v>
      </c>
      <c r="G435" s="11" t="s">
        <v>4</v>
      </c>
      <c r="H435" s="12">
        <v>90</v>
      </c>
      <c r="I435" s="11" t="s">
        <v>13</v>
      </c>
      <c r="J435" s="13">
        <v>60</v>
      </c>
      <c r="K435" s="12">
        <v>103500</v>
      </c>
      <c r="L435" s="12">
        <v>0</v>
      </c>
      <c r="M435" s="11" t="s">
        <v>470</v>
      </c>
      <c r="N435" s="11" t="s">
        <v>471</v>
      </c>
      <c r="O435" s="16">
        <v>46237</v>
      </c>
      <c r="P435" s="11" t="s">
        <v>767</v>
      </c>
      <c r="Q435" s="11"/>
      <c r="R435" s="12">
        <v>30</v>
      </c>
      <c r="S435" s="11" t="s">
        <v>13</v>
      </c>
      <c r="T435" s="13">
        <v>20</v>
      </c>
      <c r="U435" s="12">
        <f t="shared" ref="U435" si="157">(K435*T435)/J435</f>
        <v>34500</v>
      </c>
      <c r="V435" s="12">
        <f t="shared" ref="V435" si="158">(T435*L435)/J435</f>
        <v>0</v>
      </c>
      <c r="W435" s="79">
        <f>J435-T435-T436</f>
        <v>30</v>
      </c>
      <c r="X435" s="66">
        <f>K435-U435-U436</f>
        <v>51750</v>
      </c>
      <c r="Y435" s="66">
        <f>L435-V435-V436</f>
        <v>0</v>
      </c>
      <c r="Z435" s="67">
        <f>H435-R435-R436</f>
        <v>45</v>
      </c>
    </row>
    <row r="436" spans="1:26" x14ac:dyDescent="0.3">
      <c r="A436" s="1"/>
      <c r="B436" s="73"/>
      <c r="C436" s="11"/>
      <c r="D436" s="11"/>
      <c r="E436" s="11"/>
      <c r="F436" s="11"/>
      <c r="G436" s="11"/>
      <c r="H436" s="12"/>
      <c r="I436" s="11"/>
      <c r="J436" s="13"/>
      <c r="K436" s="12"/>
      <c r="L436" s="12"/>
      <c r="M436" s="11" t="s">
        <v>470</v>
      </c>
      <c r="N436" s="11" t="s">
        <v>471</v>
      </c>
      <c r="O436" s="16">
        <v>46237</v>
      </c>
      <c r="P436" s="11" t="s">
        <v>768</v>
      </c>
      <c r="Q436" s="11"/>
      <c r="R436" s="12">
        <v>15</v>
      </c>
      <c r="S436" s="11" t="s">
        <v>13</v>
      </c>
      <c r="T436" s="13">
        <v>10</v>
      </c>
      <c r="U436" s="12">
        <f>(K435*T436)/J435</f>
        <v>17250</v>
      </c>
      <c r="V436" s="12">
        <f>(T436*L435)/J435</f>
        <v>0</v>
      </c>
      <c r="W436" s="79"/>
      <c r="X436" s="66"/>
      <c r="Y436" s="66"/>
      <c r="Z436" s="67"/>
    </row>
    <row r="437" spans="1:26" x14ac:dyDescent="0.3">
      <c r="A437" s="1"/>
      <c r="B437" s="73" t="s">
        <v>797</v>
      </c>
      <c r="C437" s="11"/>
      <c r="D437" s="11"/>
      <c r="E437" s="11"/>
      <c r="F437" s="11">
        <v>39239090</v>
      </c>
      <c r="G437" s="11" t="s">
        <v>4</v>
      </c>
      <c r="H437" s="12">
        <v>630</v>
      </c>
      <c r="I437" s="11" t="s">
        <v>13</v>
      </c>
      <c r="J437" s="13">
        <v>120</v>
      </c>
      <c r="K437" s="12">
        <v>414000</v>
      </c>
      <c r="L437" s="12">
        <v>0</v>
      </c>
      <c r="M437" s="11" t="s">
        <v>470</v>
      </c>
      <c r="N437" s="11" t="s">
        <v>471</v>
      </c>
      <c r="O437" s="16">
        <v>46237</v>
      </c>
      <c r="P437" s="11" t="s">
        <v>767</v>
      </c>
      <c r="Q437" s="11"/>
      <c r="R437" s="12">
        <v>210</v>
      </c>
      <c r="S437" s="11" t="s">
        <v>13</v>
      </c>
      <c r="T437" s="13">
        <v>40</v>
      </c>
      <c r="U437" s="12">
        <f t="shared" ref="U437" si="159">(K437*T437)/J437</f>
        <v>138000</v>
      </c>
      <c r="V437" s="12">
        <f t="shared" ref="V437" si="160">(T437*L437)/J437</f>
        <v>0</v>
      </c>
      <c r="W437" s="79">
        <f>J437-T437-T438</f>
        <v>60</v>
      </c>
      <c r="X437" s="66">
        <f>K437-U437-U438</f>
        <v>207000</v>
      </c>
      <c r="Y437" s="66">
        <f>L437-V437-V438</f>
        <v>0</v>
      </c>
      <c r="Z437" s="67">
        <f>H437-R437-R438</f>
        <v>315</v>
      </c>
    </row>
    <row r="438" spans="1:26" x14ac:dyDescent="0.3">
      <c r="A438" s="1"/>
      <c r="B438" s="73"/>
      <c r="C438" s="11"/>
      <c r="D438" s="11"/>
      <c r="E438" s="11"/>
      <c r="F438" s="11"/>
      <c r="G438" s="11"/>
      <c r="H438" s="12"/>
      <c r="I438" s="11"/>
      <c r="J438" s="13"/>
      <c r="K438" s="12"/>
      <c r="L438" s="12"/>
      <c r="M438" s="11" t="s">
        <v>470</v>
      </c>
      <c r="N438" s="11" t="s">
        <v>471</v>
      </c>
      <c r="O438" s="16">
        <v>46237</v>
      </c>
      <c r="P438" s="11" t="s">
        <v>768</v>
      </c>
      <c r="Q438" s="11"/>
      <c r="R438" s="12">
        <v>105</v>
      </c>
      <c r="S438" s="11" t="s">
        <v>13</v>
      </c>
      <c r="T438" s="13">
        <v>20</v>
      </c>
      <c r="U438" s="12">
        <f>(K437*T438)/J437</f>
        <v>69000</v>
      </c>
      <c r="V438" s="12">
        <f>(T438*L437)/J437</f>
        <v>0</v>
      </c>
      <c r="W438" s="79"/>
      <c r="X438" s="66"/>
      <c r="Y438" s="66"/>
      <c r="Z438" s="67"/>
    </row>
    <row r="439" spans="1:26" x14ac:dyDescent="0.3">
      <c r="A439" s="1"/>
      <c r="B439" s="73" t="s">
        <v>798</v>
      </c>
      <c r="C439" s="11"/>
      <c r="D439" s="11"/>
      <c r="E439" s="11"/>
      <c r="F439" s="11">
        <v>44192000</v>
      </c>
      <c r="G439" s="11" t="s">
        <v>4</v>
      </c>
      <c r="H439" s="12">
        <v>5</v>
      </c>
      <c r="I439" s="11" t="s">
        <v>13</v>
      </c>
      <c r="J439" s="13">
        <v>60</v>
      </c>
      <c r="K439" s="12">
        <v>5400</v>
      </c>
      <c r="L439" s="12">
        <v>0</v>
      </c>
      <c r="M439" s="11" t="s">
        <v>470</v>
      </c>
      <c r="N439" s="11" t="s">
        <v>471</v>
      </c>
      <c r="O439" s="16">
        <v>46237</v>
      </c>
      <c r="P439" s="11" t="s">
        <v>767</v>
      </c>
      <c r="Q439" s="11"/>
      <c r="R439" s="12">
        <v>1</v>
      </c>
      <c r="S439" s="11" t="s">
        <v>13</v>
      </c>
      <c r="T439" s="13">
        <v>20</v>
      </c>
      <c r="U439" s="12">
        <f t="shared" ref="U439" si="161">(K439*T439)/J439</f>
        <v>1800</v>
      </c>
      <c r="V439" s="12">
        <f t="shared" ref="V439" si="162">(T439*L439)/J439</f>
        <v>0</v>
      </c>
      <c r="W439" s="79">
        <f>J439-T439-T440</f>
        <v>30</v>
      </c>
      <c r="X439" s="66">
        <f>K439-U439-U440</f>
        <v>2700</v>
      </c>
      <c r="Y439" s="66">
        <f>L439-V439-V440</f>
        <v>0</v>
      </c>
      <c r="Z439" s="67">
        <f>H439-R439-R440</f>
        <v>3.2</v>
      </c>
    </row>
    <row r="440" spans="1:26" x14ac:dyDescent="0.3">
      <c r="A440" s="1"/>
      <c r="B440" s="73"/>
      <c r="C440" s="11"/>
      <c r="D440" s="11"/>
      <c r="E440" s="11"/>
      <c r="F440" s="11"/>
      <c r="G440" s="11"/>
      <c r="H440" s="12"/>
      <c r="I440" s="11"/>
      <c r="J440" s="13"/>
      <c r="K440" s="12"/>
      <c r="L440" s="12"/>
      <c r="M440" s="11" t="s">
        <v>470</v>
      </c>
      <c r="N440" s="11" t="s">
        <v>471</v>
      </c>
      <c r="O440" s="16">
        <v>46237</v>
      </c>
      <c r="P440" s="11" t="s">
        <v>768</v>
      </c>
      <c r="Q440" s="11"/>
      <c r="R440" s="12">
        <v>0.8</v>
      </c>
      <c r="S440" s="11" t="s">
        <v>13</v>
      </c>
      <c r="T440" s="13">
        <v>10</v>
      </c>
      <c r="U440" s="12">
        <f>(K439*T440)/J439</f>
        <v>900</v>
      </c>
      <c r="V440" s="12">
        <f>(T440*L439)/J439</f>
        <v>0</v>
      </c>
      <c r="W440" s="79"/>
      <c r="X440" s="66"/>
      <c r="Y440" s="66"/>
      <c r="Z440" s="67"/>
    </row>
    <row r="441" spans="1:26" x14ac:dyDescent="0.3">
      <c r="A441" s="1"/>
      <c r="B441" s="73" t="s">
        <v>799</v>
      </c>
      <c r="C441" s="11"/>
      <c r="D441" s="11"/>
      <c r="E441" s="11"/>
      <c r="F441" s="11">
        <v>34025000</v>
      </c>
      <c r="G441" s="11" t="s">
        <v>4</v>
      </c>
      <c r="H441" s="12">
        <v>51</v>
      </c>
      <c r="I441" s="11" t="s">
        <v>13</v>
      </c>
      <c r="J441" s="13">
        <v>600</v>
      </c>
      <c r="K441" s="12">
        <v>96000</v>
      </c>
      <c r="L441" s="12">
        <v>0</v>
      </c>
      <c r="M441" s="11" t="s">
        <v>470</v>
      </c>
      <c r="N441" s="11" t="s">
        <v>471</v>
      </c>
      <c r="O441" s="16">
        <v>46237</v>
      </c>
      <c r="P441" s="11" t="s">
        <v>767</v>
      </c>
      <c r="Q441" s="11"/>
      <c r="R441" s="12">
        <v>17</v>
      </c>
      <c r="S441" s="11" t="s">
        <v>13</v>
      </c>
      <c r="T441" s="13">
        <v>200</v>
      </c>
      <c r="U441" s="12">
        <f t="shared" ref="U441" si="163">(K441*T441)/J441</f>
        <v>32000</v>
      </c>
      <c r="V441" s="12">
        <f t="shared" ref="V441" si="164">(T441*L441)/J441</f>
        <v>0</v>
      </c>
      <c r="W441" s="79">
        <f>J441-T441-T442</f>
        <v>300</v>
      </c>
      <c r="X441" s="66">
        <f>K441-U441-U442</f>
        <v>48000</v>
      </c>
      <c r="Y441" s="66">
        <f>L441-V441-V442</f>
        <v>0</v>
      </c>
      <c r="Z441" s="67">
        <f>H441-R441-R442</f>
        <v>26</v>
      </c>
    </row>
    <row r="442" spans="1:26" x14ac:dyDescent="0.3">
      <c r="A442" s="1"/>
      <c r="B442" s="73"/>
      <c r="C442" s="11"/>
      <c r="D442" s="11"/>
      <c r="E442" s="11"/>
      <c r="F442" s="11"/>
      <c r="G442" s="11"/>
      <c r="H442" s="12"/>
      <c r="I442" s="11"/>
      <c r="J442" s="13"/>
      <c r="K442" s="12"/>
      <c r="L442" s="12"/>
      <c r="M442" s="11" t="s">
        <v>470</v>
      </c>
      <c r="N442" s="11" t="s">
        <v>471</v>
      </c>
      <c r="O442" s="16">
        <v>46237</v>
      </c>
      <c r="P442" s="11" t="s">
        <v>768</v>
      </c>
      <c r="Q442" s="11"/>
      <c r="R442" s="12">
        <v>8</v>
      </c>
      <c r="S442" s="11" t="s">
        <v>13</v>
      </c>
      <c r="T442" s="13">
        <v>100</v>
      </c>
      <c r="U442" s="12">
        <f>(K441*T442)/J441</f>
        <v>16000</v>
      </c>
      <c r="V442" s="12">
        <f>(T442*L441)/J441</f>
        <v>0</v>
      </c>
      <c r="W442" s="79"/>
      <c r="X442" s="66"/>
      <c r="Y442" s="66"/>
      <c r="Z442" s="67"/>
    </row>
    <row r="443" spans="1:26" x14ac:dyDescent="0.3">
      <c r="A443" s="1"/>
      <c r="B443" s="73" t="s">
        <v>800</v>
      </c>
      <c r="C443" s="11"/>
      <c r="D443" s="11"/>
      <c r="E443" s="11"/>
      <c r="F443" s="11">
        <v>39249000</v>
      </c>
      <c r="G443" s="11" t="s">
        <v>4</v>
      </c>
      <c r="H443" s="12">
        <v>480</v>
      </c>
      <c r="I443" s="11" t="s">
        <v>13</v>
      </c>
      <c r="J443" s="13">
        <v>600</v>
      </c>
      <c r="K443" s="12">
        <v>120000</v>
      </c>
      <c r="L443" s="12">
        <v>0</v>
      </c>
      <c r="M443" s="11" t="s">
        <v>470</v>
      </c>
      <c r="N443" s="11" t="s">
        <v>471</v>
      </c>
      <c r="O443" s="16">
        <v>46237</v>
      </c>
      <c r="P443" s="11" t="s">
        <v>767</v>
      </c>
      <c r="Q443" s="11"/>
      <c r="R443" s="12">
        <v>160</v>
      </c>
      <c r="S443" s="11" t="s">
        <v>13</v>
      </c>
      <c r="T443" s="13">
        <v>200</v>
      </c>
      <c r="U443" s="12">
        <f t="shared" ref="U443" si="165">(K443*T443)/J443</f>
        <v>40000</v>
      </c>
      <c r="V443" s="12">
        <f t="shared" ref="V443" si="166">(T443*L443)/J443</f>
        <v>0</v>
      </c>
      <c r="W443" s="79">
        <f>J443-T443-T444</f>
        <v>300</v>
      </c>
      <c r="X443" s="66">
        <f>K443-U443-U444</f>
        <v>60000</v>
      </c>
      <c r="Y443" s="66">
        <f>L443-V443-V444</f>
        <v>0</v>
      </c>
      <c r="Z443" s="67">
        <f>H443-R443-R444</f>
        <v>240</v>
      </c>
    </row>
    <row r="444" spans="1:26" x14ac:dyDescent="0.3">
      <c r="A444" s="1"/>
      <c r="B444" s="73"/>
      <c r="C444" s="11"/>
      <c r="D444" s="11"/>
      <c r="E444" s="11"/>
      <c r="F444" s="11"/>
      <c r="G444" s="11"/>
      <c r="H444" s="12"/>
      <c r="I444" s="11"/>
      <c r="J444" s="13"/>
      <c r="K444" s="12"/>
      <c r="L444" s="12"/>
      <c r="M444" s="11" t="s">
        <v>470</v>
      </c>
      <c r="N444" s="11" t="s">
        <v>471</v>
      </c>
      <c r="O444" s="16">
        <v>46237</v>
      </c>
      <c r="P444" s="11" t="s">
        <v>768</v>
      </c>
      <c r="Q444" s="11"/>
      <c r="R444" s="12">
        <v>80</v>
      </c>
      <c r="S444" s="11" t="s">
        <v>13</v>
      </c>
      <c r="T444" s="13">
        <v>100</v>
      </c>
      <c r="U444" s="12">
        <f>(K443*T444)/J443</f>
        <v>20000</v>
      </c>
      <c r="V444" s="12">
        <f>(T444*L443)/J443</f>
        <v>0</v>
      </c>
      <c r="W444" s="79"/>
      <c r="X444" s="66"/>
      <c r="Y444" s="66"/>
      <c r="Z444" s="67"/>
    </row>
    <row r="445" spans="1:26" x14ac:dyDescent="0.3">
      <c r="A445" s="1"/>
      <c r="B445" s="73" t="s">
        <v>801</v>
      </c>
      <c r="C445" s="11"/>
      <c r="D445" s="11"/>
      <c r="E445" s="11"/>
      <c r="F445" s="11">
        <v>56079000</v>
      </c>
      <c r="G445" s="11" t="s">
        <v>4</v>
      </c>
      <c r="H445" s="12">
        <v>3</v>
      </c>
      <c r="I445" s="11" t="s">
        <v>13</v>
      </c>
      <c r="J445" s="13">
        <v>120</v>
      </c>
      <c r="K445" s="12">
        <v>1560</v>
      </c>
      <c r="L445" s="12">
        <v>0</v>
      </c>
      <c r="M445" s="11" t="s">
        <v>470</v>
      </c>
      <c r="N445" s="11" t="s">
        <v>471</v>
      </c>
      <c r="O445" s="16">
        <v>46237</v>
      </c>
      <c r="P445" s="11" t="s">
        <v>767</v>
      </c>
      <c r="Q445" s="11"/>
      <c r="R445" s="12">
        <v>1</v>
      </c>
      <c r="S445" s="11" t="s">
        <v>13</v>
      </c>
      <c r="T445" s="13">
        <v>40</v>
      </c>
      <c r="U445" s="12">
        <f t="shared" ref="U445" si="167">(K445*T445)/J445</f>
        <v>520</v>
      </c>
      <c r="V445" s="12">
        <f t="shared" ref="V445" si="168">(T445*L445)/J445</f>
        <v>0</v>
      </c>
      <c r="W445" s="79">
        <f>J445-T445-T446</f>
        <v>60</v>
      </c>
      <c r="X445" s="66">
        <f>K445-U445-U446</f>
        <v>780</v>
      </c>
      <c r="Y445" s="66">
        <f>L445-V445-V446</f>
        <v>0</v>
      </c>
      <c r="Z445" s="67">
        <f>H445-R445-R446</f>
        <v>1.5</v>
      </c>
    </row>
    <row r="446" spans="1:26" x14ac:dyDescent="0.3">
      <c r="A446" s="1"/>
      <c r="B446" s="73"/>
      <c r="C446" s="11"/>
      <c r="D446" s="11"/>
      <c r="E446" s="11"/>
      <c r="F446" s="11"/>
      <c r="G446" s="11"/>
      <c r="H446" s="12"/>
      <c r="I446" s="11"/>
      <c r="J446" s="13"/>
      <c r="K446" s="12"/>
      <c r="L446" s="12"/>
      <c r="M446" s="11" t="s">
        <v>470</v>
      </c>
      <c r="N446" s="11" t="s">
        <v>471</v>
      </c>
      <c r="O446" s="16">
        <v>46237</v>
      </c>
      <c r="P446" s="11" t="s">
        <v>768</v>
      </c>
      <c r="Q446" s="11"/>
      <c r="R446" s="12">
        <v>0.5</v>
      </c>
      <c r="S446" s="11" t="s">
        <v>13</v>
      </c>
      <c r="T446" s="13">
        <v>20</v>
      </c>
      <c r="U446" s="12">
        <f>(K445*T446)/J445</f>
        <v>260</v>
      </c>
      <c r="V446" s="12">
        <f>(T446*L445)/J445</f>
        <v>0</v>
      </c>
      <c r="W446" s="79"/>
      <c r="X446" s="66"/>
      <c r="Y446" s="66"/>
      <c r="Z446" s="67"/>
    </row>
    <row r="447" spans="1:26" x14ac:dyDescent="0.3">
      <c r="A447" s="1"/>
      <c r="B447" s="73" t="s">
        <v>802</v>
      </c>
      <c r="C447" s="11"/>
      <c r="D447" s="11"/>
      <c r="E447" s="11"/>
      <c r="F447" s="11">
        <v>63079000</v>
      </c>
      <c r="G447" s="11" t="s">
        <v>4</v>
      </c>
      <c r="H447" s="12">
        <v>34</v>
      </c>
      <c r="I447" s="11" t="s">
        <v>13</v>
      </c>
      <c r="J447" s="13">
        <v>200</v>
      </c>
      <c r="K447" s="12">
        <v>35000</v>
      </c>
      <c r="L447" s="12">
        <v>0</v>
      </c>
      <c r="M447" s="11" t="s">
        <v>470</v>
      </c>
      <c r="N447" s="11" t="s">
        <v>471</v>
      </c>
      <c r="O447" s="16">
        <v>46237</v>
      </c>
      <c r="P447" s="11" t="s">
        <v>767</v>
      </c>
      <c r="Q447" s="11"/>
      <c r="R447" s="12">
        <v>3</v>
      </c>
      <c r="S447" s="11" t="s">
        <v>13</v>
      </c>
      <c r="T447" s="13">
        <v>20</v>
      </c>
      <c r="U447" s="12">
        <f t="shared" ref="U447" si="169">(K447*T447)/J447</f>
        <v>3500</v>
      </c>
      <c r="V447" s="12">
        <f t="shared" ref="V447" si="170">(T447*L447)/J447</f>
        <v>0</v>
      </c>
      <c r="W447" s="79">
        <f>J447-T447-T448</f>
        <v>170</v>
      </c>
      <c r="X447" s="66">
        <f>K447-U447-U448</f>
        <v>29750</v>
      </c>
      <c r="Y447" s="66">
        <f>L447-V447-V448</f>
        <v>0</v>
      </c>
      <c r="Z447" s="67">
        <f>H447-R447-R448</f>
        <v>30</v>
      </c>
    </row>
    <row r="448" spans="1:26" x14ac:dyDescent="0.3">
      <c r="A448" s="1"/>
      <c r="B448" s="73"/>
      <c r="C448" s="11"/>
      <c r="D448" s="11"/>
      <c r="E448" s="11"/>
      <c r="F448" s="11"/>
      <c r="G448" s="11"/>
      <c r="H448" s="12"/>
      <c r="I448" s="11"/>
      <c r="J448" s="13"/>
      <c r="K448" s="12"/>
      <c r="L448" s="12"/>
      <c r="M448" s="11" t="s">
        <v>470</v>
      </c>
      <c r="N448" s="11" t="s">
        <v>471</v>
      </c>
      <c r="O448" s="16">
        <v>46237</v>
      </c>
      <c r="P448" s="11" t="s">
        <v>768</v>
      </c>
      <c r="Q448" s="11"/>
      <c r="R448" s="12">
        <v>1</v>
      </c>
      <c r="S448" s="11" t="s">
        <v>13</v>
      </c>
      <c r="T448" s="13">
        <v>10</v>
      </c>
      <c r="U448" s="12">
        <f>(K447*T448)/J447</f>
        <v>1750</v>
      </c>
      <c r="V448" s="12">
        <f>(T448*L447)/J447</f>
        <v>0</v>
      </c>
      <c r="W448" s="79"/>
      <c r="X448" s="66"/>
      <c r="Y448" s="66"/>
      <c r="Z448" s="67"/>
    </row>
    <row r="449" spans="1:26" x14ac:dyDescent="0.3">
      <c r="A449" s="1"/>
      <c r="B449" s="73" t="s">
        <v>803</v>
      </c>
      <c r="C449" s="11"/>
      <c r="D449" s="11"/>
      <c r="E449" s="11"/>
      <c r="F449" s="11">
        <v>38089990</v>
      </c>
      <c r="G449" s="11" t="s">
        <v>4</v>
      </c>
      <c r="H449" s="12">
        <v>450</v>
      </c>
      <c r="I449" s="11" t="s">
        <v>13</v>
      </c>
      <c r="J449" s="13">
        <v>900</v>
      </c>
      <c r="K449" s="12">
        <v>211500</v>
      </c>
      <c r="L449" s="12">
        <v>0</v>
      </c>
      <c r="M449" s="11" t="s">
        <v>470</v>
      </c>
      <c r="N449" s="11" t="s">
        <v>471</v>
      </c>
      <c r="O449" s="16">
        <v>46237</v>
      </c>
      <c r="P449" s="11" t="s">
        <v>767</v>
      </c>
      <c r="Q449" s="11"/>
      <c r="R449" s="12">
        <v>150</v>
      </c>
      <c r="S449" s="11" t="s">
        <v>13</v>
      </c>
      <c r="T449" s="13">
        <v>300</v>
      </c>
      <c r="U449" s="12">
        <f>(K449*T449)/J449</f>
        <v>70500</v>
      </c>
      <c r="V449" s="12">
        <f t="shared" ref="V449" si="171">(T449*L449)/J449</f>
        <v>0</v>
      </c>
      <c r="W449" s="79">
        <f>J449-T449-T450</f>
        <v>450</v>
      </c>
      <c r="X449" s="66">
        <f>K449-U449-U450</f>
        <v>105750</v>
      </c>
      <c r="Y449" s="66">
        <f>L449-V449-V450</f>
        <v>0</v>
      </c>
      <c r="Z449" s="67">
        <f>H449-R449-R450</f>
        <v>225</v>
      </c>
    </row>
    <row r="450" spans="1:26" x14ac:dyDescent="0.3">
      <c r="A450" s="1"/>
      <c r="B450" s="73"/>
      <c r="C450" s="11"/>
      <c r="D450" s="11"/>
      <c r="E450" s="11"/>
      <c r="F450" s="11"/>
      <c r="G450" s="11"/>
      <c r="H450" s="12"/>
      <c r="I450" s="11"/>
      <c r="J450" s="13"/>
      <c r="K450" s="12"/>
      <c r="L450" s="12"/>
      <c r="M450" s="11" t="s">
        <v>470</v>
      </c>
      <c r="N450" s="11" t="s">
        <v>471</v>
      </c>
      <c r="O450" s="16">
        <v>46237</v>
      </c>
      <c r="P450" s="11" t="s">
        <v>768</v>
      </c>
      <c r="Q450" s="11"/>
      <c r="R450" s="12">
        <v>75</v>
      </c>
      <c r="S450" s="11" t="s">
        <v>13</v>
      </c>
      <c r="T450" s="13">
        <v>150</v>
      </c>
      <c r="U450" s="12">
        <f>(K449*T450)/J449</f>
        <v>35250</v>
      </c>
      <c r="V450" s="12">
        <f>(T450*L449)/J449</f>
        <v>0</v>
      </c>
      <c r="W450" s="79"/>
      <c r="X450" s="66"/>
      <c r="Y450" s="66"/>
      <c r="Z450" s="67"/>
    </row>
    <row r="451" spans="1:26" x14ac:dyDescent="0.3">
      <c r="A451" s="1"/>
      <c r="B451" s="73" t="s">
        <v>804</v>
      </c>
      <c r="C451" s="11"/>
      <c r="D451" s="11"/>
      <c r="E451" s="11"/>
      <c r="F451" s="11">
        <v>39262000</v>
      </c>
      <c r="G451" s="11" t="s">
        <v>4</v>
      </c>
      <c r="H451" s="12">
        <v>90</v>
      </c>
      <c r="I451" s="11" t="s">
        <v>13</v>
      </c>
      <c r="J451" s="13">
        <v>300</v>
      </c>
      <c r="K451" s="12">
        <v>139500</v>
      </c>
      <c r="L451" s="12">
        <v>0</v>
      </c>
      <c r="M451" s="11" t="s">
        <v>470</v>
      </c>
      <c r="N451" s="11" t="s">
        <v>471</v>
      </c>
      <c r="O451" s="16">
        <v>46237</v>
      </c>
      <c r="P451" s="11" t="s">
        <v>767</v>
      </c>
      <c r="Q451" s="11"/>
      <c r="R451" s="12">
        <v>30</v>
      </c>
      <c r="S451" s="11" t="s">
        <v>13</v>
      </c>
      <c r="T451" s="13">
        <v>100</v>
      </c>
      <c r="U451" s="12">
        <f t="shared" ref="U451" si="172">(K451*T451)/J451</f>
        <v>46500</v>
      </c>
      <c r="V451" s="12">
        <f t="shared" ref="V451" si="173">(T451*L451)/J451</f>
        <v>0</v>
      </c>
      <c r="W451" s="79">
        <f>J451-T451-T452</f>
        <v>150</v>
      </c>
      <c r="X451" s="66">
        <f>K451-U451-U452</f>
        <v>69750</v>
      </c>
      <c r="Y451" s="66">
        <f>L451-V451-V452</f>
        <v>0</v>
      </c>
      <c r="Z451" s="67">
        <f>H451-R451-R452</f>
        <v>45</v>
      </c>
    </row>
    <row r="452" spans="1:26" x14ac:dyDescent="0.3">
      <c r="A452" s="1"/>
      <c r="B452" s="73"/>
      <c r="C452" s="11"/>
      <c r="D452" s="11"/>
      <c r="E452" s="11"/>
      <c r="F452" s="11"/>
      <c r="G452" s="11"/>
      <c r="H452" s="12"/>
      <c r="I452" s="11"/>
      <c r="J452" s="13"/>
      <c r="K452" s="12"/>
      <c r="L452" s="12"/>
      <c r="M452" s="11" t="s">
        <v>470</v>
      </c>
      <c r="N452" s="11" t="s">
        <v>471</v>
      </c>
      <c r="O452" s="16">
        <v>46237</v>
      </c>
      <c r="P452" s="11" t="s">
        <v>768</v>
      </c>
      <c r="Q452" s="11"/>
      <c r="R452" s="12">
        <v>15</v>
      </c>
      <c r="S452" s="11" t="s">
        <v>13</v>
      </c>
      <c r="T452" s="13">
        <v>50</v>
      </c>
      <c r="U452" s="12">
        <f>(K451*T452)/J451</f>
        <v>23250</v>
      </c>
      <c r="V452" s="12">
        <f>(T452*L451)/J451</f>
        <v>0</v>
      </c>
      <c r="W452" s="79"/>
      <c r="X452" s="66"/>
      <c r="Y452" s="66"/>
      <c r="Z452" s="67"/>
    </row>
    <row r="453" spans="1:26" x14ac:dyDescent="0.3">
      <c r="A453" s="1"/>
      <c r="B453" s="73" t="s">
        <v>805</v>
      </c>
      <c r="C453" s="11"/>
      <c r="D453" s="11"/>
      <c r="E453" s="11"/>
      <c r="F453" s="11">
        <v>40151900</v>
      </c>
      <c r="G453" s="11" t="s">
        <v>4</v>
      </c>
      <c r="H453" s="12">
        <v>23</v>
      </c>
      <c r="I453" s="11" t="s">
        <v>13</v>
      </c>
      <c r="J453" s="13">
        <v>300</v>
      </c>
      <c r="K453" s="12">
        <v>147000</v>
      </c>
      <c r="L453" s="12">
        <v>0</v>
      </c>
      <c r="M453" s="11" t="s">
        <v>470</v>
      </c>
      <c r="N453" s="11" t="s">
        <v>471</v>
      </c>
      <c r="O453" s="16">
        <v>46237</v>
      </c>
      <c r="P453" s="11" t="s">
        <v>767</v>
      </c>
      <c r="Q453" s="11"/>
      <c r="R453" s="12">
        <v>7</v>
      </c>
      <c r="S453" s="11" t="s">
        <v>13</v>
      </c>
      <c r="T453" s="13">
        <v>100</v>
      </c>
      <c r="U453" s="12">
        <f t="shared" ref="U453" si="174">(K453*T453)/J453</f>
        <v>49000</v>
      </c>
      <c r="V453" s="12">
        <f t="shared" ref="V453" si="175">(T453*L453)/J453</f>
        <v>0</v>
      </c>
      <c r="W453" s="79">
        <f>J453-T453-T454</f>
        <v>150</v>
      </c>
      <c r="X453" s="66">
        <f>K453-U453-U454</f>
        <v>73500</v>
      </c>
      <c r="Y453" s="66">
        <f>L453-V453-V454</f>
        <v>0</v>
      </c>
      <c r="Z453" s="67">
        <f>H453-R453-R454</f>
        <v>13</v>
      </c>
    </row>
    <row r="454" spans="1:26" x14ac:dyDescent="0.3">
      <c r="A454" s="1"/>
      <c r="B454" s="73"/>
      <c r="C454" s="11"/>
      <c r="D454" s="11"/>
      <c r="E454" s="11"/>
      <c r="F454" s="11"/>
      <c r="G454" s="11"/>
      <c r="H454" s="12"/>
      <c r="I454" s="11"/>
      <c r="J454" s="13"/>
      <c r="K454" s="12"/>
      <c r="L454" s="12"/>
      <c r="M454" s="11" t="s">
        <v>470</v>
      </c>
      <c r="N454" s="11" t="s">
        <v>471</v>
      </c>
      <c r="O454" s="16">
        <v>46237</v>
      </c>
      <c r="P454" s="11" t="s">
        <v>768</v>
      </c>
      <c r="Q454" s="11"/>
      <c r="R454" s="12">
        <v>3</v>
      </c>
      <c r="S454" s="11" t="s">
        <v>13</v>
      </c>
      <c r="T454" s="13">
        <v>50</v>
      </c>
      <c r="U454" s="12">
        <f>(K453*T454)/J453</f>
        <v>24500</v>
      </c>
      <c r="V454" s="12">
        <f>(T454*L453)/J453</f>
        <v>0</v>
      </c>
      <c r="W454" s="79"/>
      <c r="X454" s="66"/>
      <c r="Y454" s="66"/>
      <c r="Z454" s="67"/>
    </row>
    <row r="455" spans="1:26" x14ac:dyDescent="0.3">
      <c r="A455" s="1"/>
      <c r="B455" s="10" t="s">
        <v>806</v>
      </c>
      <c r="C455" s="11"/>
      <c r="D455" s="11"/>
      <c r="E455" s="11"/>
      <c r="F455" s="11">
        <v>38089990</v>
      </c>
      <c r="G455" s="11" t="s">
        <v>4</v>
      </c>
      <c r="H455" s="12">
        <v>25</v>
      </c>
      <c r="I455" s="11" t="s">
        <v>13</v>
      </c>
      <c r="J455" s="13">
        <v>33</v>
      </c>
      <c r="K455" s="12">
        <v>143220</v>
      </c>
      <c r="L455" s="12">
        <v>0</v>
      </c>
      <c r="M455" s="11"/>
      <c r="N455" s="11"/>
      <c r="O455" s="16"/>
      <c r="P455" s="11"/>
      <c r="Q455" s="11"/>
      <c r="R455" s="12"/>
      <c r="S455" s="11"/>
      <c r="T455" s="13"/>
      <c r="U455" s="12"/>
      <c r="V455" s="12"/>
      <c r="W455" s="79">
        <f t="shared" ref="W455" si="176">J455-T455</f>
        <v>33</v>
      </c>
      <c r="X455" s="66">
        <f t="shared" ref="X455" si="177">K455-U455</f>
        <v>143220</v>
      </c>
      <c r="Y455" s="66">
        <f t="shared" ref="Y455" si="178">L455-V455</f>
        <v>0</v>
      </c>
      <c r="Z455" s="67">
        <f t="shared" ref="Z455" si="179">H455-R455</f>
        <v>25</v>
      </c>
    </row>
    <row r="456" spans="1:26" x14ac:dyDescent="0.3">
      <c r="A456" s="1"/>
      <c r="B456" s="10"/>
      <c r="C456" s="11"/>
      <c r="D456" s="11"/>
      <c r="E456" s="11"/>
      <c r="F456" s="11"/>
      <c r="G456" s="11"/>
      <c r="H456" s="12"/>
      <c r="I456" s="11"/>
      <c r="J456" s="13"/>
      <c r="K456" s="12"/>
      <c r="L456" s="12"/>
      <c r="M456" s="11"/>
      <c r="N456" s="11"/>
      <c r="O456" s="11"/>
      <c r="P456" s="11"/>
      <c r="Q456" s="11"/>
      <c r="R456" s="12"/>
      <c r="S456" s="11"/>
      <c r="T456" s="13"/>
      <c r="U456" s="12"/>
      <c r="V456" s="12"/>
      <c r="W456" s="134"/>
      <c r="X456" s="68"/>
      <c r="Y456" s="150"/>
      <c r="Z456" s="109"/>
    </row>
    <row r="457" spans="1:26" x14ac:dyDescent="0.3">
      <c r="A457" s="1" t="s">
        <v>807</v>
      </c>
      <c r="B457" s="73" t="s">
        <v>808</v>
      </c>
      <c r="C457" s="18" t="s">
        <v>809</v>
      </c>
      <c r="D457" s="16">
        <v>46164</v>
      </c>
      <c r="E457" s="11" t="s">
        <v>810</v>
      </c>
      <c r="F457" s="11">
        <v>63079000</v>
      </c>
      <c r="G457" s="11" t="s">
        <v>154</v>
      </c>
      <c r="H457" s="12">
        <v>30.4</v>
      </c>
      <c r="I457" s="11" t="s">
        <v>13</v>
      </c>
      <c r="J457" s="13">
        <v>2700</v>
      </c>
      <c r="K457" s="12">
        <v>309015.64</v>
      </c>
      <c r="L457" s="12">
        <v>145965</v>
      </c>
      <c r="M457" s="11" t="s">
        <v>475</v>
      </c>
      <c r="N457" s="11" t="s">
        <v>476</v>
      </c>
      <c r="O457" s="16">
        <v>46217</v>
      </c>
      <c r="P457" s="11" t="s">
        <v>811</v>
      </c>
      <c r="Q457" s="11"/>
      <c r="R457" s="12">
        <v>25</v>
      </c>
      <c r="S457" s="11" t="s">
        <v>13</v>
      </c>
      <c r="T457" s="13">
        <v>2220</v>
      </c>
      <c r="U457" s="12">
        <f t="shared" ref="U457" si="180">(K457*T457)/J457</f>
        <v>254079.52622222225</v>
      </c>
      <c r="V457" s="12">
        <f t="shared" ref="V457" si="181">(T457*L457)/J457</f>
        <v>120015.66666666667</v>
      </c>
      <c r="W457" s="79">
        <f t="shared" ref="W457" si="182">J457-T457</f>
        <v>480</v>
      </c>
      <c r="X457" s="66">
        <f t="shared" ref="X457" si="183">K457-U457</f>
        <v>54936.113777777762</v>
      </c>
      <c r="Y457" s="66">
        <f t="shared" ref="Y457" si="184">L457-V457</f>
        <v>25949.333333333328</v>
      </c>
      <c r="Z457" s="67">
        <f t="shared" ref="Z457" si="185">H457-R457</f>
        <v>5.3999999999999986</v>
      </c>
    </row>
    <row r="458" spans="1:26" x14ac:dyDescent="0.3">
      <c r="A458" s="1"/>
      <c r="B458" s="73" t="s">
        <v>812</v>
      </c>
      <c r="C458" s="11"/>
      <c r="D458" s="11"/>
      <c r="E458" s="11"/>
      <c r="F458" s="11">
        <v>62101000</v>
      </c>
      <c r="G458" s="11" t="s">
        <v>154</v>
      </c>
      <c r="H458" s="12">
        <v>63.7</v>
      </c>
      <c r="I458" s="11" t="s">
        <v>13</v>
      </c>
      <c r="J458" s="13">
        <v>600</v>
      </c>
      <c r="K458" s="12">
        <v>126957.75</v>
      </c>
      <c r="L458" s="12">
        <v>74399</v>
      </c>
      <c r="M458" s="11" t="s">
        <v>475</v>
      </c>
      <c r="N458" s="11" t="s">
        <v>476</v>
      </c>
      <c r="O458" s="16">
        <v>46217</v>
      </c>
      <c r="P458" s="11" t="s">
        <v>811</v>
      </c>
      <c r="Q458" s="11"/>
      <c r="R458" s="12">
        <v>51.49</v>
      </c>
      <c r="S458" s="11" t="s">
        <v>13</v>
      </c>
      <c r="T458" s="13">
        <v>485</v>
      </c>
      <c r="U458" s="12">
        <f t="shared" ref="U458" si="186">(K458*T458)/J458</f>
        <v>102624.18124999999</v>
      </c>
      <c r="V458" s="12">
        <f t="shared" ref="V458" si="187">(T458*L458)/J458</f>
        <v>60139.191666666666</v>
      </c>
      <c r="W458" s="79">
        <f t="shared" ref="W458" si="188">J458-T458</f>
        <v>115</v>
      </c>
      <c r="X458" s="66">
        <f t="shared" ref="X458" si="189">K458-U458</f>
        <v>24333.568750000006</v>
      </c>
      <c r="Y458" s="66">
        <f t="shared" ref="Y458" si="190">L458-V458</f>
        <v>14259.808333333334</v>
      </c>
      <c r="Z458" s="67">
        <f t="shared" ref="Z458" si="191">H458-R458</f>
        <v>12.21</v>
      </c>
    </row>
    <row r="459" spans="1:26" x14ac:dyDescent="0.3">
      <c r="A459" s="1"/>
      <c r="B459" s="73" t="s">
        <v>813</v>
      </c>
      <c r="C459" s="11"/>
      <c r="D459" s="11"/>
      <c r="E459" s="11"/>
      <c r="F459" s="11">
        <v>62101000</v>
      </c>
      <c r="G459" s="11" t="s">
        <v>154</v>
      </c>
      <c r="H459" s="12">
        <v>381</v>
      </c>
      <c r="I459" s="11" t="s">
        <v>13</v>
      </c>
      <c r="J459" s="13">
        <v>1350</v>
      </c>
      <c r="K459" s="12">
        <v>1080566.5</v>
      </c>
      <c r="L459" s="12">
        <v>633214</v>
      </c>
      <c r="M459" s="11" t="s">
        <v>475</v>
      </c>
      <c r="N459" s="11" t="s">
        <v>476</v>
      </c>
      <c r="O459" s="16">
        <v>46217</v>
      </c>
      <c r="P459" s="11" t="s">
        <v>811</v>
      </c>
      <c r="Q459" s="11"/>
      <c r="R459" s="12">
        <v>313.27</v>
      </c>
      <c r="S459" s="11" t="s">
        <v>13</v>
      </c>
      <c r="T459" s="13">
        <v>1110</v>
      </c>
      <c r="U459" s="12">
        <f t="shared" ref="U459:U460" si="192">(K459*T459)/J459</f>
        <v>888465.7888888889</v>
      </c>
      <c r="V459" s="12">
        <f t="shared" ref="V459:V460" si="193">(T459*L459)/J459</f>
        <v>520642.62222222221</v>
      </c>
      <c r="W459" s="79">
        <f t="shared" ref="W459:W460" si="194">J459-T459</f>
        <v>240</v>
      </c>
      <c r="X459" s="66">
        <f t="shared" ref="X459:X460" si="195">K459-U459</f>
        <v>192100.7111111111</v>
      </c>
      <c r="Y459" s="66">
        <f t="shared" ref="Y459:Y460" si="196">L459-V459</f>
        <v>112571.37777777779</v>
      </c>
      <c r="Z459" s="67">
        <f t="shared" ref="Z459:Z460" si="197">H459-R459</f>
        <v>67.730000000000018</v>
      </c>
    </row>
    <row r="460" spans="1:26" x14ac:dyDescent="0.3">
      <c r="A460" s="1"/>
      <c r="B460" s="73" t="s">
        <v>814</v>
      </c>
      <c r="C460" s="11"/>
      <c r="D460" s="11"/>
      <c r="E460" s="11"/>
      <c r="F460" s="11">
        <v>62101000</v>
      </c>
      <c r="G460" s="11" t="s">
        <v>154</v>
      </c>
      <c r="H460" s="12">
        <v>398</v>
      </c>
      <c r="I460" s="11" t="s">
        <v>13</v>
      </c>
      <c r="J460" s="13">
        <v>1350</v>
      </c>
      <c r="K460" s="12">
        <v>1082918.94</v>
      </c>
      <c r="L460" s="12">
        <v>634592</v>
      </c>
      <c r="M460" s="11" t="s">
        <v>475</v>
      </c>
      <c r="N460" s="11" t="s">
        <v>476</v>
      </c>
      <c r="O460" s="16">
        <v>46217</v>
      </c>
      <c r="P460" s="11" t="s">
        <v>811</v>
      </c>
      <c r="Q460" s="11"/>
      <c r="R460" s="12">
        <v>327.24</v>
      </c>
      <c r="S460" s="11" t="s">
        <v>13</v>
      </c>
      <c r="T460" s="13">
        <v>1110</v>
      </c>
      <c r="U460" s="12">
        <f t="shared" si="192"/>
        <v>890400.01733333326</v>
      </c>
      <c r="V460" s="12">
        <f t="shared" si="193"/>
        <v>521775.64444444445</v>
      </c>
      <c r="W460" s="79">
        <f t="shared" si="194"/>
        <v>240</v>
      </c>
      <c r="X460" s="66">
        <f t="shared" si="195"/>
        <v>192518.92266666668</v>
      </c>
      <c r="Y460" s="66">
        <f t="shared" si="196"/>
        <v>112816.35555555555</v>
      </c>
      <c r="Z460" s="67">
        <f t="shared" si="197"/>
        <v>70.759999999999991</v>
      </c>
    </row>
    <row r="461" spans="1:26" x14ac:dyDescent="0.3">
      <c r="A461" s="1"/>
      <c r="B461" s="10" t="s">
        <v>815</v>
      </c>
      <c r="C461" s="11"/>
      <c r="D461" s="11"/>
      <c r="E461" s="11"/>
      <c r="F461" s="11">
        <v>62034900</v>
      </c>
      <c r="G461" s="11" t="s">
        <v>154</v>
      </c>
      <c r="H461" s="12">
        <v>2550</v>
      </c>
      <c r="I461" s="11" t="s">
        <v>5</v>
      </c>
      <c r="J461" s="13">
        <v>2550</v>
      </c>
      <c r="K461" s="12">
        <v>370578.68</v>
      </c>
      <c r="L461" s="12">
        <v>217161</v>
      </c>
      <c r="M461" s="11" t="s">
        <v>475</v>
      </c>
      <c r="N461" s="11" t="s">
        <v>476</v>
      </c>
      <c r="O461" s="16">
        <v>46217</v>
      </c>
      <c r="P461" s="11" t="s">
        <v>811</v>
      </c>
      <c r="Q461" s="11"/>
      <c r="R461" s="12">
        <v>2070</v>
      </c>
      <c r="S461" s="11" t="s">
        <v>5</v>
      </c>
      <c r="T461" s="13">
        <v>2070</v>
      </c>
      <c r="U461" s="12">
        <f t="shared" ref="U461:U462" si="198">(K461*T461)/J461</f>
        <v>300822.69317647058</v>
      </c>
      <c r="V461" s="12">
        <f t="shared" ref="V461:V462" si="199">(T461*L461)/J461</f>
        <v>176283.63529411764</v>
      </c>
      <c r="W461" s="79">
        <f t="shared" ref="W461:W462" si="200">J461-T461</f>
        <v>480</v>
      </c>
      <c r="X461" s="66">
        <f t="shared" ref="X461:X462" si="201">K461-U461</f>
        <v>69755.986823529413</v>
      </c>
      <c r="Y461" s="66">
        <f t="shared" ref="Y461:Y462" si="202">L461-V461</f>
        <v>40877.364705882355</v>
      </c>
      <c r="Z461" s="67">
        <f t="shared" ref="Z461:Z462" si="203">H461-R461</f>
        <v>480</v>
      </c>
    </row>
    <row r="462" spans="1:26" x14ac:dyDescent="0.3">
      <c r="A462" s="1"/>
      <c r="B462" s="73" t="s">
        <v>816</v>
      </c>
      <c r="C462" s="11"/>
      <c r="D462" s="11"/>
      <c r="E462" s="11"/>
      <c r="F462" s="11">
        <v>62034900</v>
      </c>
      <c r="G462" s="11" t="s">
        <v>154</v>
      </c>
      <c r="H462" s="12">
        <v>2550</v>
      </c>
      <c r="I462" s="11" t="s">
        <v>5</v>
      </c>
      <c r="J462" s="13">
        <v>2550</v>
      </c>
      <c r="K462" s="12">
        <v>372446.79</v>
      </c>
      <c r="L462" s="12">
        <v>218255</v>
      </c>
      <c r="M462" s="11" t="s">
        <v>475</v>
      </c>
      <c r="N462" s="11" t="s">
        <v>476</v>
      </c>
      <c r="O462" s="16">
        <v>46217</v>
      </c>
      <c r="P462" s="11" t="s">
        <v>811</v>
      </c>
      <c r="Q462" s="11"/>
      <c r="R462" s="12">
        <v>2070</v>
      </c>
      <c r="S462" s="11" t="s">
        <v>5</v>
      </c>
      <c r="T462" s="13">
        <v>2070</v>
      </c>
      <c r="U462" s="12">
        <f t="shared" si="198"/>
        <v>302339.15894117643</v>
      </c>
      <c r="V462" s="12">
        <f t="shared" si="199"/>
        <v>177171.70588235295</v>
      </c>
      <c r="W462" s="79">
        <f t="shared" si="200"/>
        <v>480</v>
      </c>
      <c r="X462" s="66">
        <f t="shared" si="201"/>
        <v>70107.63105882355</v>
      </c>
      <c r="Y462" s="66">
        <f t="shared" si="202"/>
        <v>41083.294117647049</v>
      </c>
      <c r="Z462" s="67">
        <f t="shared" si="203"/>
        <v>480</v>
      </c>
    </row>
    <row r="463" spans="1:26" x14ac:dyDescent="0.3">
      <c r="A463" s="1"/>
      <c r="B463" s="73" t="s">
        <v>817</v>
      </c>
      <c r="C463" s="11"/>
      <c r="D463" s="11"/>
      <c r="E463" s="11"/>
      <c r="F463" s="11">
        <v>39262000</v>
      </c>
      <c r="G463" s="11" t="s">
        <v>154</v>
      </c>
      <c r="H463" s="12">
        <v>64.2</v>
      </c>
      <c r="I463" s="11" t="s">
        <v>13</v>
      </c>
      <c r="J463" s="13">
        <v>600</v>
      </c>
      <c r="K463" s="12">
        <v>24636.34</v>
      </c>
      <c r="L463" s="12">
        <v>11581</v>
      </c>
      <c r="M463" s="11" t="s">
        <v>475</v>
      </c>
      <c r="N463" s="11" t="s">
        <v>476</v>
      </c>
      <c r="O463" s="16">
        <v>46217</v>
      </c>
      <c r="P463" s="11" t="s">
        <v>811</v>
      </c>
      <c r="Q463" s="11"/>
      <c r="R463" s="12">
        <v>51.9</v>
      </c>
      <c r="S463" s="11" t="s">
        <v>13</v>
      </c>
      <c r="T463" s="13">
        <v>485</v>
      </c>
      <c r="U463" s="12">
        <f t="shared" ref="U463" si="204">(K463*T463)/J463</f>
        <v>19914.374833333335</v>
      </c>
      <c r="V463" s="12">
        <f t="shared" ref="V463" si="205">(T463*L463)/J463</f>
        <v>9361.3083333333325</v>
      </c>
      <c r="W463" s="79">
        <f t="shared" ref="W463" si="206">J463-T463</f>
        <v>115</v>
      </c>
      <c r="X463" s="66">
        <f t="shared" ref="X463" si="207">K463-U463</f>
        <v>4721.965166666665</v>
      </c>
      <c r="Y463" s="66">
        <f t="shared" ref="Y463" si="208">L463-V463</f>
        <v>2219.6916666666675</v>
      </c>
      <c r="Z463" s="67">
        <f t="shared" ref="Z463" si="209">H463-R463</f>
        <v>12.300000000000004</v>
      </c>
    </row>
    <row r="464" spans="1:26" x14ac:dyDescent="0.3">
      <c r="A464" s="1"/>
      <c r="B464" s="73" t="s">
        <v>818</v>
      </c>
      <c r="C464" s="11"/>
      <c r="D464" s="11"/>
      <c r="E464" s="11"/>
      <c r="F464" s="11">
        <v>39232100</v>
      </c>
      <c r="G464" s="11" t="s">
        <v>154</v>
      </c>
      <c r="H464" s="12">
        <v>475.1</v>
      </c>
      <c r="I464" s="11" t="s">
        <v>13</v>
      </c>
      <c r="J464" s="13">
        <v>4100</v>
      </c>
      <c r="K464" s="12">
        <v>281026.71999999997</v>
      </c>
      <c r="L464" s="12">
        <v>132084</v>
      </c>
      <c r="M464" s="11" t="s">
        <v>475</v>
      </c>
      <c r="N464" s="11" t="s">
        <v>476</v>
      </c>
      <c r="O464" s="16">
        <v>46217</v>
      </c>
      <c r="P464" s="11" t="s">
        <v>811</v>
      </c>
      <c r="Q464" s="11"/>
      <c r="R464" s="12">
        <v>400.94</v>
      </c>
      <c r="S464" s="11" t="s">
        <v>13</v>
      </c>
      <c r="T464" s="13">
        <v>3460</v>
      </c>
      <c r="U464" s="12">
        <f t="shared" ref="U464" si="210">(K464*T464)/J464</f>
        <v>237159.13443902438</v>
      </c>
      <c r="V464" s="12">
        <f t="shared" ref="V464" si="211">(T464*L464)/J464</f>
        <v>111466.00975609756</v>
      </c>
      <c r="W464" s="79">
        <f t="shared" ref="W464" si="212">J464-T464</f>
        <v>640</v>
      </c>
      <c r="X464" s="66">
        <f t="shared" ref="X464" si="213">K464-U464</f>
        <v>43867.585560975596</v>
      </c>
      <c r="Y464" s="66">
        <f t="shared" ref="Y464" si="214">L464-V464</f>
        <v>20617.990243902444</v>
      </c>
      <c r="Z464" s="67">
        <f t="shared" ref="Z464" si="215">H464-R464</f>
        <v>74.160000000000025</v>
      </c>
    </row>
    <row r="465" spans="1:26" s="173" customFormat="1" x14ac:dyDescent="0.3">
      <c r="A465" s="17"/>
      <c r="B465" s="170" t="s">
        <v>819</v>
      </c>
      <c r="C465" s="32"/>
      <c r="D465" s="32"/>
      <c r="E465" s="32"/>
      <c r="F465" s="32">
        <v>90049090</v>
      </c>
      <c r="G465" s="32" t="s">
        <v>154</v>
      </c>
      <c r="H465" s="33">
        <v>260</v>
      </c>
      <c r="I465" s="32" t="s">
        <v>5</v>
      </c>
      <c r="J465" s="144">
        <v>260</v>
      </c>
      <c r="K465" s="33">
        <v>73242.05</v>
      </c>
      <c r="L465" s="33">
        <v>21681</v>
      </c>
      <c r="M465" s="32" t="s">
        <v>475</v>
      </c>
      <c r="N465" s="32" t="s">
        <v>476</v>
      </c>
      <c r="O465" s="31">
        <v>46217</v>
      </c>
      <c r="P465" s="32" t="s">
        <v>811</v>
      </c>
      <c r="Q465" s="32"/>
      <c r="R465" s="33">
        <v>88</v>
      </c>
      <c r="S465" s="32" t="s">
        <v>5</v>
      </c>
      <c r="T465" s="144">
        <v>88</v>
      </c>
      <c r="U465" s="33">
        <f t="shared" ref="U465:U466" si="216">(K465*T465)/J465</f>
        <v>24789.616923076923</v>
      </c>
      <c r="V465" s="33">
        <f t="shared" ref="V465:V466" si="217">(T465*L465)/J465</f>
        <v>7338.1846153846154</v>
      </c>
      <c r="W465" s="171">
        <f t="shared" ref="W465:W466" si="218">J465-T465</f>
        <v>172</v>
      </c>
      <c r="X465" s="172">
        <f t="shared" ref="X465:X466" si="219">K465-U465</f>
        <v>48452.43307692308</v>
      </c>
      <c r="Y465" s="172">
        <f t="shared" ref="Y465:Y466" si="220">L465-V465</f>
        <v>14342.815384615384</v>
      </c>
      <c r="Z465" s="120">
        <f t="shared" ref="Z465:Z466" si="221">H465-R465</f>
        <v>172</v>
      </c>
    </row>
    <row r="466" spans="1:26" x14ac:dyDescent="0.3">
      <c r="A466" s="1"/>
      <c r="B466" s="73" t="s">
        <v>820</v>
      </c>
      <c r="C466" s="11"/>
      <c r="D466" s="11"/>
      <c r="E466" s="11"/>
      <c r="F466" s="11">
        <v>39262000</v>
      </c>
      <c r="G466" s="11" t="s">
        <v>154</v>
      </c>
      <c r="H466" s="12">
        <v>123</v>
      </c>
      <c r="I466" s="11" t="s">
        <v>13</v>
      </c>
      <c r="J466" s="13">
        <v>250</v>
      </c>
      <c r="K466" s="12">
        <v>99064.38</v>
      </c>
      <c r="L466" s="12">
        <v>46563</v>
      </c>
      <c r="M466" s="11" t="s">
        <v>475</v>
      </c>
      <c r="N466" s="11" t="s">
        <v>476</v>
      </c>
      <c r="O466" s="16">
        <v>46217</v>
      </c>
      <c r="P466" s="11" t="s">
        <v>811</v>
      </c>
      <c r="Q466" s="11"/>
      <c r="R466" s="12">
        <v>83.64</v>
      </c>
      <c r="S466" s="11" t="s">
        <v>13</v>
      </c>
      <c r="T466" s="13">
        <v>170</v>
      </c>
      <c r="U466" s="12">
        <f t="shared" si="216"/>
        <v>67363.77840000001</v>
      </c>
      <c r="V466" s="12">
        <f t="shared" si="217"/>
        <v>31662.84</v>
      </c>
      <c r="W466" s="79">
        <f t="shared" si="218"/>
        <v>80</v>
      </c>
      <c r="X466" s="66">
        <f t="shared" si="219"/>
        <v>31700.601599999995</v>
      </c>
      <c r="Y466" s="66">
        <f t="shared" si="220"/>
        <v>14900.16</v>
      </c>
      <c r="Z466" s="67">
        <f t="shared" si="221"/>
        <v>39.36</v>
      </c>
    </row>
    <row r="467" spans="1:26" x14ac:dyDescent="0.3">
      <c r="A467" s="1"/>
      <c r="B467" s="73" t="s">
        <v>821</v>
      </c>
      <c r="C467" s="11"/>
      <c r="D467" s="11"/>
      <c r="E467" s="11"/>
      <c r="F467" s="11">
        <v>40151900</v>
      </c>
      <c r="G467" s="11" t="s">
        <v>154</v>
      </c>
      <c r="H467" s="12">
        <v>18.600000000000001</v>
      </c>
      <c r="I467" s="11" t="s">
        <v>13</v>
      </c>
      <c r="J467" s="13">
        <v>250</v>
      </c>
      <c r="K467" s="12">
        <v>45236.61</v>
      </c>
      <c r="L467" s="12">
        <v>13391</v>
      </c>
      <c r="M467" s="11" t="s">
        <v>475</v>
      </c>
      <c r="N467" s="11" t="s">
        <v>476</v>
      </c>
      <c r="O467" s="16">
        <v>46217</v>
      </c>
      <c r="P467" s="11" t="s">
        <v>811</v>
      </c>
      <c r="Q467" s="11"/>
      <c r="R467" s="12">
        <v>12.65</v>
      </c>
      <c r="S467" s="11" t="s">
        <v>13</v>
      </c>
      <c r="T467" s="13">
        <v>170</v>
      </c>
      <c r="U467" s="12">
        <f t="shared" ref="U467" si="222">(K467*T467)/J467</f>
        <v>30760.894800000002</v>
      </c>
      <c r="V467" s="12">
        <f t="shared" ref="V467" si="223">(T467*L467)/J467</f>
        <v>9105.8799999999992</v>
      </c>
      <c r="W467" s="79">
        <f t="shared" ref="W467" si="224">J467-T467</f>
        <v>80</v>
      </c>
      <c r="X467" s="66">
        <f t="shared" ref="X467" si="225">K467-U467</f>
        <v>14475.715199999999</v>
      </c>
      <c r="Y467" s="66">
        <f t="shared" ref="Y467" si="226">L467-V467</f>
        <v>4285.1200000000008</v>
      </c>
      <c r="Z467" s="67">
        <f t="shared" ref="Z467" si="227">H467-R467</f>
        <v>5.9500000000000011</v>
      </c>
    </row>
    <row r="468" spans="1:26" x14ac:dyDescent="0.3">
      <c r="A468" s="1"/>
      <c r="B468" s="73" t="s">
        <v>822</v>
      </c>
      <c r="C468" s="11"/>
      <c r="D468" s="11"/>
      <c r="E468" s="11"/>
      <c r="F468" s="11">
        <v>94029090</v>
      </c>
      <c r="G468" s="11" t="s">
        <v>154</v>
      </c>
      <c r="H468" s="12">
        <v>126.5</v>
      </c>
      <c r="I468" s="11" t="s">
        <v>13</v>
      </c>
      <c r="J468" s="13">
        <v>30</v>
      </c>
      <c r="K468" s="12">
        <v>210471.85</v>
      </c>
      <c r="L468" s="12">
        <v>123339</v>
      </c>
      <c r="M468" s="11" t="s">
        <v>475</v>
      </c>
      <c r="N468" s="11" t="s">
        <v>476</v>
      </c>
      <c r="O468" s="16">
        <v>46217</v>
      </c>
      <c r="P468" s="11" t="s">
        <v>811</v>
      </c>
      <c r="Q468" s="11"/>
      <c r="R468" s="12">
        <v>84.33</v>
      </c>
      <c r="S468" s="11" t="s">
        <v>13</v>
      </c>
      <c r="T468" s="13">
        <v>20</v>
      </c>
      <c r="U468" s="12">
        <f t="shared" ref="U468" si="228">(K468*T468)/J468</f>
        <v>140314.56666666668</v>
      </c>
      <c r="V468" s="12">
        <f t="shared" ref="V468" si="229">(T468*L468)/J468</f>
        <v>82226</v>
      </c>
      <c r="W468" s="79">
        <f t="shared" ref="W468:W469" si="230">J468-T468</f>
        <v>10</v>
      </c>
      <c r="X468" s="66">
        <f t="shared" ref="X468:X469" si="231">K468-U468</f>
        <v>70157.283333333326</v>
      </c>
      <c r="Y468" s="66">
        <f t="shared" ref="Y468:Y469" si="232">L468-V468</f>
        <v>41113</v>
      </c>
      <c r="Z468" s="67">
        <f t="shared" ref="Z468:Z469" si="233">H468-R468</f>
        <v>42.17</v>
      </c>
    </row>
    <row r="469" spans="1:26" x14ac:dyDescent="0.3">
      <c r="A469" s="1"/>
      <c r="B469" s="73" t="s">
        <v>823</v>
      </c>
      <c r="C469" s="11"/>
      <c r="D469" s="11"/>
      <c r="E469" s="11"/>
      <c r="F469" s="11">
        <v>84244900</v>
      </c>
      <c r="G469" s="11" t="s">
        <v>154</v>
      </c>
      <c r="H469" s="12">
        <v>70</v>
      </c>
      <c r="I469" s="11" t="s">
        <v>5</v>
      </c>
      <c r="J469" s="13">
        <v>70</v>
      </c>
      <c r="K469" s="12">
        <v>121792.73</v>
      </c>
      <c r="L469" s="12">
        <v>21923</v>
      </c>
      <c r="M469" s="11" t="s">
        <v>475</v>
      </c>
      <c r="N469" s="11" t="s">
        <v>476</v>
      </c>
      <c r="O469" s="16">
        <v>46217</v>
      </c>
      <c r="P469" s="11" t="s">
        <v>811</v>
      </c>
      <c r="Q469" s="11"/>
      <c r="R469" s="12">
        <v>48</v>
      </c>
      <c r="S469" s="11" t="s">
        <v>5</v>
      </c>
      <c r="T469" s="13">
        <v>48</v>
      </c>
      <c r="U469" s="12">
        <f t="shared" ref="U469" si="234">(K469*T469)/J469</f>
        <v>83515.014857142858</v>
      </c>
      <c r="V469" s="12">
        <f t="shared" ref="V469" si="235">(T469*L469)/J469</f>
        <v>15032.914285714285</v>
      </c>
      <c r="W469" s="79">
        <f t="shared" si="230"/>
        <v>22</v>
      </c>
      <c r="X469" s="66">
        <f t="shared" si="231"/>
        <v>38277.715142857138</v>
      </c>
      <c r="Y469" s="66">
        <f t="shared" si="232"/>
        <v>6890.0857142857149</v>
      </c>
      <c r="Z469" s="67">
        <f t="shared" si="233"/>
        <v>22</v>
      </c>
    </row>
    <row r="470" spans="1:26" x14ac:dyDescent="0.3">
      <c r="A470" s="1"/>
      <c r="B470" s="73" t="s">
        <v>824</v>
      </c>
      <c r="C470" s="11"/>
      <c r="D470" s="11"/>
      <c r="E470" s="11"/>
      <c r="F470" s="11">
        <v>39232100</v>
      </c>
      <c r="G470" s="11" t="s">
        <v>154</v>
      </c>
      <c r="H470" s="12">
        <v>858.9</v>
      </c>
      <c r="I470" s="11" t="s">
        <v>13</v>
      </c>
      <c r="J470" s="13">
        <v>510</v>
      </c>
      <c r="K470" s="12">
        <v>1109679.77</v>
      </c>
      <c r="L470" s="12">
        <v>521550</v>
      </c>
      <c r="M470" s="11" t="s">
        <v>475</v>
      </c>
      <c r="N470" s="11" t="s">
        <v>476</v>
      </c>
      <c r="O470" s="16">
        <v>46217</v>
      </c>
      <c r="P470" s="11" t="s">
        <v>811</v>
      </c>
      <c r="Q470" s="11"/>
      <c r="R470" s="12">
        <v>709.01</v>
      </c>
      <c r="S470" s="11" t="s">
        <v>13</v>
      </c>
      <c r="T470" s="13">
        <v>421</v>
      </c>
      <c r="U470" s="12">
        <f t="shared" ref="U470:U471" si="236">(K470*T470)/J470</f>
        <v>916029.77092156862</v>
      </c>
      <c r="V470" s="12">
        <f t="shared" ref="V470:V471" si="237">(T470*L470)/J470</f>
        <v>430534.4117647059</v>
      </c>
      <c r="W470" s="79">
        <f t="shared" ref="W470:W471" si="238">J470-T470</f>
        <v>89</v>
      </c>
      <c r="X470" s="66">
        <f t="shared" ref="X470:X471" si="239">K470-U470</f>
        <v>193649.9990784314</v>
      </c>
      <c r="Y470" s="66">
        <f t="shared" ref="Y470:Y471" si="240">L470-V470</f>
        <v>91015.588235294097</v>
      </c>
      <c r="Z470" s="67">
        <f t="shared" ref="Z470:Z471" si="241">H470-R470</f>
        <v>149.88999999999999</v>
      </c>
    </row>
    <row r="471" spans="1:26" x14ac:dyDescent="0.3">
      <c r="A471" s="1"/>
      <c r="B471" s="73" t="s">
        <v>825</v>
      </c>
      <c r="C471" s="11"/>
      <c r="D471" s="11"/>
      <c r="E471" s="11"/>
      <c r="F471" s="11">
        <v>39232100</v>
      </c>
      <c r="G471" s="11" t="s">
        <v>154</v>
      </c>
      <c r="H471" s="12">
        <v>415.5</v>
      </c>
      <c r="I471" s="11" t="s">
        <v>13</v>
      </c>
      <c r="J471" s="13">
        <v>300</v>
      </c>
      <c r="K471" s="12">
        <v>384358.83</v>
      </c>
      <c r="L471" s="12">
        <v>180650</v>
      </c>
      <c r="M471" s="11" t="s">
        <v>475</v>
      </c>
      <c r="N471" s="11" t="s">
        <v>476</v>
      </c>
      <c r="O471" s="16">
        <v>46217</v>
      </c>
      <c r="P471" s="11" t="s">
        <v>811</v>
      </c>
      <c r="Q471" s="11"/>
      <c r="R471" s="12">
        <v>367.03</v>
      </c>
      <c r="S471" s="11" t="s">
        <v>13</v>
      </c>
      <c r="T471" s="13">
        <v>265</v>
      </c>
      <c r="U471" s="12">
        <f t="shared" si="236"/>
        <v>339516.96650000004</v>
      </c>
      <c r="V471" s="12">
        <f t="shared" si="237"/>
        <v>159574.16666666666</v>
      </c>
      <c r="W471" s="79">
        <f t="shared" si="238"/>
        <v>35</v>
      </c>
      <c r="X471" s="66">
        <f t="shared" si="239"/>
        <v>44841.863499999978</v>
      </c>
      <c r="Y471" s="66">
        <f t="shared" si="240"/>
        <v>21075.833333333343</v>
      </c>
      <c r="Z471" s="67">
        <f t="shared" si="241"/>
        <v>48.470000000000027</v>
      </c>
    </row>
    <row r="472" spans="1:26" x14ac:dyDescent="0.3">
      <c r="A472" s="1"/>
      <c r="B472" s="10"/>
      <c r="C472" s="11"/>
      <c r="D472" s="11"/>
      <c r="E472" s="11"/>
      <c r="F472" s="11"/>
      <c r="G472" s="11"/>
      <c r="H472" s="12"/>
      <c r="I472" s="11"/>
      <c r="J472" s="13"/>
      <c r="K472" s="12"/>
      <c r="L472" s="12"/>
      <c r="M472" s="11"/>
      <c r="N472" s="11"/>
      <c r="O472" s="11"/>
      <c r="P472" s="11"/>
      <c r="Q472" s="11"/>
      <c r="R472" s="12"/>
      <c r="S472" s="11"/>
      <c r="T472" s="13"/>
      <c r="U472" s="12"/>
      <c r="V472" s="12"/>
      <c r="W472" s="134"/>
      <c r="X472" s="68"/>
      <c r="Y472" s="150"/>
      <c r="Z472" s="109"/>
    </row>
    <row r="473" spans="1:26" x14ac:dyDescent="0.3">
      <c r="A473" s="1" t="s">
        <v>826</v>
      </c>
      <c r="B473" s="10" t="s">
        <v>827</v>
      </c>
      <c r="C473" s="15" t="s">
        <v>828</v>
      </c>
      <c r="D473" s="16">
        <v>46184</v>
      </c>
      <c r="E473" s="11" t="s">
        <v>829</v>
      </c>
      <c r="F473" s="11">
        <v>38089410</v>
      </c>
      <c r="G473" s="11" t="s">
        <v>830</v>
      </c>
      <c r="H473" s="12">
        <v>691</v>
      </c>
      <c r="I473" s="11" t="s">
        <v>13</v>
      </c>
      <c r="J473" s="13">
        <v>576</v>
      </c>
      <c r="K473" s="12">
        <v>901341.1</v>
      </c>
      <c r="L473" s="12">
        <v>162492</v>
      </c>
      <c r="M473" s="11" t="s">
        <v>475</v>
      </c>
      <c r="N473" s="11" t="s">
        <v>476</v>
      </c>
      <c r="O473" s="16">
        <v>46217</v>
      </c>
      <c r="P473" s="11" t="s">
        <v>831</v>
      </c>
      <c r="Q473" s="11"/>
      <c r="R473" s="12">
        <v>619.02</v>
      </c>
      <c r="S473" s="11" t="s">
        <v>13</v>
      </c>
      <c r="T473" s="13">
        <v>516</v>
      </c>
      <c r="U473" s="12">
        <f t="shared" ref="U473" si="242">(K473*T473)/J473</f>
        <v>807451.40208333323</v>
      </c>
      <c r="V473" s="12">
        <f t="shared" ref="V473" si="243">(T473*L473)/J473</f>
        <v>145565.75</v>
      </c>
      <c r="W473" s="79">
        <f t="shared" ref="W473" si="244">J473-T473</f>
        <v>60</v>
      </c>
      <c r="X473" s="66">
        <f t="shared" ref="X473" si="245">K473-U473</f>
        <v>93889.697916666744</v>
      </c>
      <c r="Y473" s="66">
        <f t="shared" ref="Y473" si="246">L473-V473</f>
        <v>16926.25</v>
      </c>
      <c r="Z473" s="67">
        <f t="shared" ref="Z473" si="247">H473-R473</f>
        <v>71.980000000000018</v>
      </c>
    </row>
    <row r="474" spans="1:26" x14ac:dyDescent="0.3">
      <c r="A474" s="1"/>
      <c r="B474" s="10"/>
      <c r="C474" s="11"/>
      <c r="D474" s="11"/>
      <c r="E474" s="11"/>
      <c r="F474" s="11"/>
      <c r="G474" s="11"/>
      <c r="H474" s="12"/>
      <c r="I474" s="11"/>
      <c r="J474" s="13"/>
      <c r="K474" s="12"/>
      <c r="L474" s="12"/>
      <c r="M474" s="11"/>
      <c r="N474" s="11"/>
      <c r="O474" s="11"/>
      <c r="P474" s="11"/>
      <c r="Q474" s="11"/>
      <c r="R474" s="12"/>
      <c r="S474" s="11"/>
      <c r="T474" s="13"/>
      <c r="U474" s="12"/>
      <c r="V474" s="12"/>
      <c r="W474" s="134"/>
      <c r="X474" s="68"/>
      <c r="Y474" s="150"/>
      <c r="Z474" s="109"/>
    </row>
    <row r="475" spans="1:26" x14ac:dyDescent="0.3">
      <c r="A475" s="1" t="s">
        <v>832</v>
      </c>
      <c r="B475" s="73" t="s">
        <v>833</v>
      </c>
      <c r="C475" s="15" t="s">
        <v>834</v>
      </c>
      <c r="D475" s="16">
        <v>46182</v>
      </c>
      <c r="E475" s="11" t="s">
        <v>835</v>
      </c>
      <c r="F475" s="11">
        <v>30049000</v>
      </c>
      <c r="G475" s="11" t="s">
        <v>12</v>
      </c>
      <c r="H475" s="12">
        <v>310</v>
      </c>
      <c r="I475" s="11" t="s">
        <v>13</v>
      </c>
      <c r="J475" s="13">
        <v>10000</v>
      </c>
      <c r="K475" s="12">
        <v>1034371.56</v>
      </c>
      <c r="L475" s="12">
        <v>20777</v>
      </c>
      <c r="M475" s="11"/>
      <c r="N475" s="11"/>
      <c r="O475" s="11"/>
      <c r="P475" s="11"/>
      <c r="Q475" s="11"/>
      <c r="R475" s="12"/>
      <c r="S475" s="11"/>
      <c r="T475" s="13"/>
      <c r="U475" s="12"/>
      <c r="V475" s="12"/>
      <c r="W475" s="133">
        <f>J475-T475</f>
        <v>10000</v>
      </c>
      <c r="X475" s="71">
        <f>K475-U475</f>
        <v>1034371.56</v>
      </c>
      <c r="Y475" s="71">
        <f t="shared" ref="Y475" si="248">L475-V475</f>
        <v>20777</v>
      </c>
      <c r="Z475" s="119">
        <f>H475-R475</f>
        <v>310</v>
      </c>
    </row>
    <row r="476" spans="1:26" x14ac:dyDescent="0.3">
      <c r="A476" s="1"/>
      <c r="B476" s="73"/>
      <c r="C476" s="15"/>
      <c r="D476" s="16"/>
      <c r="E476" s="11"/>
      <c r="F476" s="11"/>
      <c r="G476" s="11"/>
      <c r="H476" s="12"/>
      <c r="I476" s="11"/>
      <c r="J476" s="13"/>
      <c r="K476" s="12"/>
      <c r="L476" s="12"/>
      <c r="M476" s="11"/>
      <c r="N476" s="11"/>
      <c r="O476" s="11"/>
      <c r="P476" s="11"/>
      <c r="Q476" s="11"/>
      <c r="R476" s="12"/>
      <c r="S476" s="11"/>
      <c r="T476" s="13"/>
      <c r="U476" s="12"/>
      <c r="V476" s="12"/>
      <c r="W476" s="210"/>
      <c r="X476" s="211"/>
      <c r="Y476" s="211"/>
      <c r="Z476" s="212"/>
    </row>
    <row r="477" spans="1:26" x14ac:dyDescent="0.3">
      <c r="A477" s="1" t="s">
        <v>654</v>
      </c>
      <c r="B477" s="73" t="s">
        <v>836</v>
      </c>
      <c r="C477" s="15" t="s">
        <v>837</v>
      </c>
      <c r="D477" s="16">
        <v>46182</v>
      </c>
      <c r="E477" s="11" t="s">
        <v>838</v>
      </c>
      <c r="F477" s="11">
        <v>30049000</v>
      </c>
      <c r="G477" s="11" t="s">
        <v>12</v>
      </c>
      <c r="H477" s="12">
        <v>2885.8</v>
      </c>
      <c r="I477" s="11" t="s">
        <v>13</v>
      </c>
      <c r="J477" s="13">
        <v>19400</v>
      </c>
      <c r="K477" s="12">
        <v>964479.5</v>
      </c>
      <c r="L477" s="12">
        <v>20911</v>
      </c>
      <c r="M477" s="11" t="s">
        <v>433</v>
      </c>
      <c r="N477" s="11" t="s">
        <v>434</v>
      </c>
      <c r="O477" s="16">
        <v>46244</v>
      </c>
      <c r="P477" s="11" t="s">
        <v>839</v>
      </c>
      <c r="Q477" s="11"/>
      <c r="R477" s="12">
        <v>223</v>
      </c>
      <c r="S477" s="11" t="s">
        <v>13</v>
      </c>
      <c r="T477" s="13">
        <v>1500</v>
      </c>
      <c r="U477" s="12">
        <f t="shared" ref="U477" si="249">(K477*T477)/J477</f>
        <v>74573.157216494845</v>
      </c>
      <c r="V477" s="12">
        <f t="shared" ref="V477" si="250">(T477*L477)/J477</f>
        <v>1616.8298969072166</v>
      </c>
      <c r="W477" s="133">
        <f t="shared" ref="W477:W489" si="251">J477-T477</f>
        <v>17900</v>
      </c>
      <c r="X477" s="71">
        <f t="shared" ref="X477:X489" si="252">K477-U477</f>
        <v>889906.3427835051</v>
      </c>
      <c r="Y477" s="71">
        <f t="shared" ref="Y477:Y489" si="253">L477-V477</f>
        <v>19294.170103092783</v>
      </c>
      <c r="Z477" s="119">
        <f t="shared" ref="Z477:Z489" si="254">H477-R477</f>
        <v>2662.8</v>
      </c>
    </row>
    <row r="478" spans="1:26" x14ac:dyDescent="0.3">
      <c r="A478" s="1"/>
      <c r="B478" s="73" t="s">
        <v>840</v>
      </c>
      <c r="C478" s="11"/>
      <c r="D478" s="11"/>
      <c r="E478" s="11"/>
      <c r="F478" s="11">
        <v>30049000</v>
      </c>
      <c r="G478" s="11" t="s">
        <v>12</v>
      </c>
      <c r="H478" s="12">
        <v>4275</v>
      </c>
      <c r="I478" s="11" t="s">
        <v>13</v>
      </c>
      <c r="J478" s="13">
        <v>45000</v>
      </c>
      <c r="K478" s="12">
        <v>1790694.95</v>
      </c>
      <c r="L478" s="12">
        <v>35814</v>
      </c>
      <c r="M478" s="11"/>
      <c r="N478" s="11"/>
      <c r="O478" s="11"/>
      <c r="P478" s="11"/>
      <c r="Q478" s="11"/>
      <c r="R478" s="12"/>
      <c r="S478" s="11"/>
      <c r="T478" s="13"/>
      <c r="U478" s="12"/>
      <c r="V478" s="12"/>
      <c r="W478" s="133">
        <f t="shared" si="251"/>
        <v>45000</v>
      </c>
      <c r="X478" s="71">
        <f t="shared" si="252"/>
        <v>1790694.95</v>
      </c>
      <c r="Y478" s="71">
        <f t="shared" si="253"/>
        <v>35814</v>
      </c>
      <c r="Z478" s="119">
        <f t="shared" si="254"/>
        <v>4275</v>
      </c>
    </row>
    <row r="479" spans="1:26" x14ac:dyDescent="0.3">
      <c r="A479" s="1" t="s">
        <v>242</v>
      </c>
      <c r="B479" s="73" t="s">
        <v>841</v>
      </c>
      <c r="C479" s="15" t="s">
        <v>842</v>
      </c>
      <c r="D479" s="16">
        <v>46182</v>
      </c>
      <c r="E479" s="11" t="s">
        <v>843</v>
      </c>
      <c r="F479" s="11">
        <v>30049000</v>
      </c>
      <c r="G479" s="11" t="s">
        <v>12</v>
      </c>
      <c r="H479" s="12">
        <v>21.2</v>
      </c>
      <c r="I479" s="11" t="s">
        <v>13</v>
      </c>
      <c r="J479" s="13">
        <v>1000</v>
      </c>
      <c r="K479" s="12">
        <v>392908.15</v>
      </c>
      <c r="L479" s="12">
        <v>8279</v>
      </c>
      <c r="M479" s="11"/>
      <c r="N479" s="11"/>
      <c r="O479" s="11"/>
      <c r="P479" s="11"/>
      <c r="Q479" s="11"/>
      <c r="R479" s="12"/>
      <c r="S479" s="11"/>
      <c r="T479" s="13"/>
      <c r="U479" s="12"/>
      <c r="V479" s="12"/>
      <c r="W479" s="133">
        <f t="shared" si="251"/>
        <v>1000</v>
      </c>
      <c r="X479" s="71">
        <f t="shared" si="252"/>
        <v>392908.15</v>
      </c>
      <c r="Y479" s="71">
        <f t="shared" si="253"/>
        <v>8279</v>
      </c>
      <c r="Z479" s="119">
        <f t="shared" si="254"/>
        <v>21.2</v>
      </c>
    </row>
    <row r="480" spans="1:26" x14ac:dyDescent="0.3">
      <c r="A480" s="1"/>
      <c r="B480" s="73" t="s">
        <v>844</v>
      </c>
      <c r="C480" s="11"/>
      <c r="D480" s="11"/>
      <c r="E480" s="11"/>
      <c r="F480" s="11">
        <v>30049000</v>
      </c>
      <c r="G480" s="11" t="s">
        <v>12</v>
      </c>
      <c r="H480" s="12">
        <v>330.47</v>
      </c>
      <c r="I480" s="11" t="s">
        <v>13</v>
      </c>
      <c r="J480" s="13">
        <v>10000</v>
      </c>
      <c r="K480" s="12">
        <v>576033.25</v>
      </c>
      <c r="L480" s="12">
        <v>11521</v>
      </c>
      <c r="M480" s="11"/>
      <c r="N480" s="11"/>
      <c r="O480" s="11"/>
      <c r="P480" s="11"/>
      <c r="Q480" s="11"/>
      <c r="R480" s="12"/>
      <c r="S480" s="11"/>
      <c r="T480" s="13"/>
      <c r="U480" s="12"/>
      <c r="V480" s="12"/>
      <c r="W480" s="133">
        <f t="shared" si="251"/>
        <v>10000</v>
      </c>
      <c r="X480" s="71">
        <f t="shared" si="252"/>
        <v>576033.25</v>
      </c>
      <c r="Y480" s="71">
        <f t="shared" si="253"/>
        <v>11521</v>
      </c>
      <c r="Z480" s="119">
        <f t="shared" si="254"/>
        <v>330.47</v>
      </c>
    </row>
    <row r="481" spans="1:26" x14ac:dyDescent="0.3">
      <c r="A481" s="1"/>
      <c r="B481" s="73" t="s">
        <v>845</v>
      </c>
      <c r="C481" s="11"/>
      <c r="D481" s="11"/>
      <c r="E481" s="11"/>
      <c r="F481" s="11">
        <v>30049000</v>
      </c>
      <c r="G481" s="11" t="s">
        <v>12</v>
      </c>
      <c r="H481" s="12">
        <v>445.5</v>
      </c>
      <c r="I481" s="11" t="s">
        <v>13</v>
      </c>
      <c r="J481" s="13">
        <v>500</v>
      </c>
      <c r="K481" s="12">
        <v>622359.32999999996</v>
      </c>
      <c r="L481" s="12">
        <v>12448</v>
      </c>
      <c r="M481" s="11"/>
      <c r="N481" s="11"/>
      <c r="O481" s="11"/>
      <c r="P481" s="11"/>
      <c r="Q481" s="11"/>
      <c r="R481" s="12"/>
      <c r="S481" s="11"/>
      <c r="T481" s="13"/>
      <c r="U481" s="12"/>
      <c r="V481" s="12"/>
      <c r="W481" s="133">
        <f t="shared" si="251"/>
        <v>500</v>
      </c>
      <c r="X481" s="71">
        <f t="shared" si="252"/>
        <v>622359.32999999996</v>
      </c>
      <c r="Y481" s="71">
        <f t="shared" si="253"/>
        <v>12448</v>
      </c>
      <c r="Z481" s="119">
        <f t="shared" si="254"/>
        <v>445.5</v>
      </c>
    </row>
    <row r="482" spans="1:26" x14ac:dyDescent="0.3">
      <c r="A482" s="1"/>
      <c r="B482" s="73" t="s">
        <v>846</v>
      </c>
      <c r="C482" s="11"/>
      <c r="D482" s="11"/>
      <c r="E482" s="11"/>
      <c r="F482" s="11">
        <v>30049000</v>
      </c>
      <c r="G482" s="11" t="s">
        <v>12</v>
      </c>
      <c r="H482" s="12">
        <v>317</v>
      </c>
      <c r="I482" s="11" t="s">
        <v>13</v>
      </c>
      <c r="J482" s="13">
        <v>500</v>
      </c>
      <c r="K482" s="12">
        <v>686188.11</v>
      </c>
      <c r="L482" s="12">
        <v>13724</v>
      </c>
      <c r="M482" s="11"/>
      <c r="N482" s="11"/>
      <c r="O482" s="11"/>
      <c r="P482" s="11"/>
      <c r="Q482" s="11"/>
      <c r="R482" s="12"/>
      <c r="S482" s="11"/>
      <c r="T482" s="13"/>
      <c r="U482" s="12"/>
      <c r="V482" s="12"/>
      <c r="W482" s="133">
        <f t="shared" si="251"/>
        <v>500</v>
      </c>
      <c r="X482" s="71">
        <f t="shared" si="252"/>
        <v>686188.11</v>
      </c>
      <c r="Y482" s="71">
        <f t="shared" si="253"/>
        <v>13724</v>
      </c>
      <c r="Z482" s="119">
        <f t="shared" si="254"/>
        <v>317</v>
      </c>
    </row>
    <row r="483" spans="1:26" x14ac:dyDescent="0.3">
      <c r="A483" s="1"/>
      <c r="B483" s="73" t="s">
        <v>847</v>
      </c>
      <c r="C483" s="11"/>
      <c r="D483" s="11"/>
      <c r="E483" s="11"/>
      <c r="F483" s="11">
        <v>30049000</v>
      </c>
      <c r="G483" s="11" t="s">
        <v>12</v>
      </c>
      <c r="H483" s="12">
        <v>176.4</v>
      </c>
      <c r="I483" s="11" t="s">
        <v>13</v>
      </c>
      <c r="J483" s="13">
        <v>1000</v>
      </c>
      <c r="K483" s="12">
        <v>753847.26</v>
      </c>
      <c r="L483" s="12">
        <v>15077</v>
      </c>
      <c r="M483" s="11"/>
      <c r="N483" s="11"/>
      <c r="O483" s="11"/>
      <c r="P483" s="11"/>
      <c r="Q483" s="11"/>
      <c r="R483" s="12"/>
      <c r="S483" s="11"/>
      <c r="T483" s="13"/>
      <c r="U483" s="12"/>
      <c r="V483" s="12"/>
      <c r="W483" s="133">
        <f t="shared" si="251"/>
        <v>1000</v>
      </c>
      <c r="X483" s="71">
        <f t="shared" si="252"/>
        <v>753847.26</v>
      </c>
      <c r="Y483" s="71">
        <f t="shared" si="253"/>
        <v>15077</v>
      </c>
      <c r="Z483" s="119">
        <f t="shared" si="254"/>
        <v>176.4</v>
      </c>
    </row>
    <row r="484" spans="1:26" x14ac:dyDescent="0.3">
      <c r="A484" s="1"/>
      <c r="B484" s="73" t="s">
        <v>848</v>
      </c>
      <c r="C484" s="15"/>
      <c r="D484" s="16"/>
      <c r="E484" s="11"/>
      <c r="F484" s="11">
        <v>30049000</v>
      </c>
      <c r="G484" s="11" t="s">
        <v>12</v>
      </c>
      <c r="H484" s="12">
        <v>458.28</v>
      </c>
      <c r="I484" s="11" t="s">
        <v>13</v>
      </c>
      <c r="J484" s="13">
        <v>4912</v>
      </c>
      <c r="K484" s="12">
        <v>1656618.44</v>
      </c>
      <c r="L484" s="12">
        <v>33133</v>
      </c>
      <c r="M484" s="11"/>
      <c r="N484" s="11"/>
      <c r="O484" s="11"/>
      <c r="P484" s="11"/>
      <c r="Q484" s="11"/>
      <c r="R484" s="12"/>
      <c r="S484" s="11"/>
      <c r="T484" s="13"/>
      <c r="U484" s="12"/>
      <c r="V484" s="12"/>
      <c r="W484" s="133">
        <f t="shared" si="251"/>
        <v>4912</v>
      </c>
      <c r="X484" s="71">
        <f t="shared" si="252"/>
        <v>1656618.44</v>
      </c>
      <c r="Y484" s="71">
        <f t="shared" si="253"/>
        <v>33133</v>
      </c>
      <c r="Z484" s="119">
        <f t="shared" si="254"/>
        <v>458.28</v>
      </c>
    </row>
    <row r="485" spans="1:26" x14ac:dyDescent="0.3">
      <c r="A485" s="1" t="s">
        <v>242</v>
      </c>
      <c r="B485" s="73" t="s">
        <v>849</v>
      </c>
      <c r="C485" s="15" t="s">
        <v>850</v>
      </c>
      <c r="D485" s="16">
        <v>46182</v>
      </c>
      <c r="E485" s="11" t="s">
        <v>851</v>
      </c>
      <c r="F485" s="11">
        <v>30049000</v>
      </c>
      <c r="G485" s="11" t="s">
        <v>12</v>
      </c>
      <c r="H485" s="12">
        <v>464.22</v>
      </c>
      <c r="I485" s="11" t="s">
        <v>13</v>
      </c>
      <c r="J485" s="13">
        <v>500</v>
      </c>
      <c r="K485" s="12">
        <v>817039.13</v>
      </c>
      <c r="L485" s="12">
        <v>17011</v>
      </c>
      <c r="M485" s="11" t="s">
        <v>204</v>
      </c>
      <c r="N485" s="11" t="s">
        <v>578</v>
      </c>
      <c r="O485" s="16">
        <v>46224</v>
      </c>
      <c r="P485" s="11" t="s">
        <v>852</v>
      </c>
      <c r="Q485" s="11"/>
      <c r="R485" s="12">
        <v>11</v>
      </c>
      <c r="S485" s="11" t="s">
        <v>13</v>
      </c>
      <c r="T485" s="13">
        <v>12</v>
      </c>
      <c r="U485" s="12">
        <f t="shared" ref="U485" si="255">(K485*T485)/J485</f>
        <v>19608.939120000003</v>
      </c>
      <c r="V485" s="12">
        <f t="shared" ref="V485" si="256">(T485*L485)/J485</f>
        <v>408.26400000000001</v>
      </c>
      <c r="W485" s="133">
        <f t="shared" si="251"/>
        <v>488</v>
      </c>
      <c r="X485" s="71">
        <f t="shared" si="252"/>
        <v>797430.19088000001</v>
      </c>
      <c r="Y485" s="71">
        <f t="shared" si="253"/>
        <v>16602.736000000001</v>
      </c>
      <c r="Z485" s="119">
        <f t="shared" si="254"/>
        <v>453.22</v>
      </c>
    </row>
    <row r="486" spans="1:26" x14ac:dyDescent="0.3">
      <c r="A486" s="1"/>
      <c r="B486" s="73" t="s">
        <v>853</v>
      </c>
      <c r="C486" s="11"/>
      <c r="D486" s="11"/>
      <c r="E486" s="11"/>
      <c r="F486" s="11">
        <v>30041000</v>
      </c>
      <c r="G486" s="11" t="s">
        <v>12</v>
      </c>
      <c r="H486" s="12">
        <v>335.95</v>
      </c>
      <c r="I486" s="11" t="s">
        <v>13</v>
      </c>
      <c r="J486" s="13">
        <v>1995</v>
      </c>
      <c r="K486" s="12">
        <v>1932019.4</v>
      </c>
      <c r="L486" s="12">
        <v>38641</v>
      </c>
      <c r="M486" s="11"/>
      <c r="N486" s="11"/>
      <c r="O486" s="11"/>
      <c r="P486" s="11"/>
      <c r="Q486" s="11"/>
      <c r="R486" s="12"/>
      <c r="S486" s="11"/>
      <c r="T486" s="13"/>
      <c r="U486" s="12"/>
      <c r="V486" s="12"/>
      <c r="W486" s="133">
        <f t="shared" si="251"/>
        <v>1995</v>
      </c>
      <c r="X486" s="71">
        <f t="shared" si="252"/>
        <v>1932019.4</v>
      </c>
      <c r="Y486" s="71">
        <f t="shared" si="253"/>
        <v>38641</v>
      </c>
      <c r="Z486" s="119">
        <f t="shared" si="254"/>
        <v>335.95</v>
      </c>
    </row>
    <row r="487" spans="1:26" x14ac:dyDescent="0.3">
      <c r="A487" s="1"/>
      <c r="B487" s="73" t="s">
        <v>854</v>
      </c>
      <c r="C487" s="11"/>
      <c r="D487" s="11"/>
      <c r="E487" s="11"/>
      <c r="F487" s="11">
        <v>30041000</v>
      </c>
      <c r="G487" s="11" t="s">
        <v>12</v>
      </c>
      <c r="H487" s="12">
        <v>503.75</v>
      </c>
      <c r="I487" s="11" t="s">
        <v>13</v>
      </c>
      <c r="J487" s="13">
        <v>10035</v>
      </c>
      <c r="K487" s="12">
        <v>969067.02</v>
      </c>
      <c r="L487" s="12">
        <v>19382</v>
      </c>
      <c r="M487" s="11"/>
      <c r="N487" s="11"/>
      <c r="O487" s="11"/>
      <c r="P487" s="11"/>
      <c r="Q487" s="11"/>
      <c r="R487" s="12"/>
      <c r="S487" s="11"/>
      <c r="T487" s="13"/>
      <c r="U487" s="12"/>
      <c r="V487" s="12"/>
      <c r="W487" s="133">
        <f t="shared" si="251"/>
        <v>10035</v>
      </c>
      <c r="X487" s="71">
        <f t="shared" si="252"/>
        <v>969067.02</v>
      </c>
      <c r="Y487" s="71">
        <f t="shared" si="253"/>
        <v>19382</v>
      </c>
      <c r="Z487" s="119">
        <f t="shared" si="254"/>
        <v>503.75</v>
      </c>
    </row>
    <row r="488" spans="1:26" x14ac:dyDescent="0.3">
      <c r="A488" s="1" t="s">
        <v>242</v>
      </c>
      <c r="B488" s="73" t="s">
        <v>855</v>
      </c>
      <c r="C488" s="15" t="s">
        <v>856</v>
      </c>
      <c r="D488" s="16">
        <v>46182</v>
      </c>
      <c r="E488" s="11" t="s">
        <v>857</v>
      </c>
      <c r="F488" s="11">
        <v>30041000</v>
      </c>
      <c r="G488" s="11" t="s">
        <v>12</v>
      </c>
      <c r="H488" s="12">
        <v>726.66</v>
      </c>
      <c r="I488" s="11" t="s">
        <v>13</v>
      </c>
      <c r="J488" s="13">
        <v>10023</v>
      </c>
      <c r="K488" s="12">
        <v>634371</v>
      </c>
      <c r="L488" s="12">
        <v>13121</v>
      </c>
      <c r="M488" s="11"/>
      <c r="N488" s="11"/>
      <c r="O488" s="11"/>
      <c r="P488" s="11"/>
      <c r="Q488" s="11"/>
      <c r="R488" s="12"/>
      <c r="S488" s="11"/>
      <c r="T488" s="13"/>
      <c r="U488" s="12"/>
      <c r="V488" s="12"/>
      <c r="W488" s="133">
        <f t="shared" si="251"/>
        <v>10023</v>
      </c>
      <c r="X488" s="71">
        <f t="shared" si="252"/>
        <v>634371</v>
      </c>
      <c r="Y488" s="71">
        <f t="shared" si="253"/>
        <v>13121</v>
      </c>
      <c r="Z488" s="119">
        <f t="shared" si="254"/>
        <v>726.66</v>
      </c>
    </row>
    <row r="489" spans="1:26" x14ac:dyDescent="0.3">
      <c r="A489" s="1"/>
      <c r="B489" s="73" t="s">
        <v>858</v>
      </c>
      <c r="C489" s="11"/>
      <c r="D489" s="11"/>
      <c r="E489" s="11"/>
      <c r="F489" s="11">
        <v>30041000</v>
      </c>
      <c r="G489" s="11" t="s">
        <v>12</v>
      </c>
      <c r="H489" s="12">
        <v>738.76</v>
      </c>
      <c r="I489" s="11" t="s">
        <v>13</v>
      </c>
      <c r="J489" s="13">
        <v>10134</v>
      </c>
      <c r="K489" s="12">
        <v>905123.64</v>
      </c>
      <c r="L489" s="12">
        <v>18103</v>
      </c>
      <c r="M489" s="11"/>
      <c r="N489" s="11"/>
      <c r="O489" s="11"/>
      <c r="P489" s="11"/>
      <c r="Q489" s="11"/>
      <c r="R489" s="12"/>
      <c r="S489" s="11"/>
      <c r="T489" s="13"/>
      <c r="U489" s="12"/>
      <c r="V489" s="12"/>
      <c r="W489" s="133">
        <f t="shared" si="251"/>
        <v>10134</v>
      </c>
      <c r="X489" s="71">
        <f t="shared" si="252"/>
        <v>905123.64</v>
      </c>
      <c r="Y489" s="71">
        <f t="shared" si="253"/>
        <v>18103</v>
      </c>
      <c r="Z489" s="119">
        <f t="shared" si="254"/>
        <v>738.76</v>
      </c>
    </row>
    <row r="490" spans="1:26" x14ac:dyDescent="0.3">
      <c r="A490" s="1"/>
      <c r="B490" s="73"/>
      <c r="C490" s="11"/>
      <c r="D490" s="11"/>
      <c r="E490" s="11"/>
      <c r="F490" s="11"/>
      <c r="G490" s="11"/>
      <c r="H490" s="12"/>
      <c r="I490" s="11"/>
      <c r="J490" s="13"/>
      <c r="K490" s="12"/>
      <c r="L490" s="12"/>
      <c r="M490" s="11"/>
      <c r="N490" s="11"/>
      <c r="O490" s="11"/>
      <c r="P490" s="11"/>
      <c r="Q490" s="11"/>
      <c r="R490" s="12"/>
      <c r="S490" s="11"/>
      <c r="T490" s="13"/>
      <c r="U490" s="12"/>
      <c r="V490" s="12"/>
      <c r="W490" s="210"/>
      <c r="X490" s="211"/>
      <c r="Y490" s="211"/>
      <c r="Z490" s="212"/>
    </row>
    <row r="491" spans="1:26" x14ac:dyDescent="0.3">
      <c r="A491" s="1" t="s">
        <v>242</v>
      </c>
      <c r="B491" s="73" t="s">
        <v>859</v>
      </c>
      <c r="C491" s="15" t="s">
        <v>860</v>
      </c>
      <c r="D491" s="16">
        <v>46183</v>
      </c>
      <c r="E491" s="11" t="s">
        <v>861</v>
      </c>
      <c r="F491" s="11">
        <v>30049000</v>
      </c>
      <c r="G491" s="11" t="s">
        <v>12</v>
      </c>
      <c r="H491" s="12">
        <v>48.37</v>
      </c>
      <c r="I491" s="11" t="s">
        <v>13</v>
      </c>
      <c r="J491" s="13">
        <v>818</v>
      </c>
      <c r="K491" s="12">
        <v>89366.16</v>
      </c>
      <c r="L491" s="12">
        <v>1811</v>
      </c>
      <c r="M491" s="11"/>
      <c r="N491" s="11"/>
      <c r="O491" s="11"/>
      <c r="P491" s="11"/>
      <c r="Q491" s="11"/>
      <c r="R491" s="12"/>
      <c r="S491" s="11"/>
      <c r="T491" s="13"/>
      <c r="U491" s="12"/>
      <c r="V491" s="12"/>
      <c r="W491" s="133">
        <f>J491-T491</f>
        <v>818</v>
      </c>
      <c r="X491" s="71">
        <f>K491-U491</f>
        <v>89366.16</v>
      </c>
      <c r="Y491" s="71">
        <f t="shared" ref="Y491" si="257">L491-V491</f>
        <v>1811</v>
      </c>
      <c r="Z491" s="119">
        <f>H491-R491</f>
        <v>48.37</v>
      </c>
    </row>
    <row r="492" spans="1:26" x14ac:dyDescent="0.3">
      <c r="A492" s="1"/>
      <c r="B492" s="73"/>
      <c r="C492" s="15"/>
      <c r="D492" s="16"/>
      <c r="E492" s="11"/>
      <c r="F492" s="11"/>
      <c r="G492" s="11"/>
      <c r="H492" s="12"/>
      <c r="I492" s="11"/>
      <c r="J492" s="13"/>
      <c r="K492" s="12"/>
      <c r="L492" s="12"/>
      <c r="M492" s="11"/>
      <c r="N492" s="11"/>
      <c r="O492" s="11"/>
      <c r="P492" s="11"/>
      <c r="Q492" s="11"/>
      <c r="R492" s="12"/>
      <c r="S492" s="11"/>
      <c r="T492" s="13"/>
      <c r="U492" s="12"/>
      <c r="V492" s="12"/>
      <c r="W492" s="210"/>
      <c r="X492" s="211"/>
      <c r="Y492" s="211"/>
      <c r="Z492" s="212"/>
    </row>
    <row r="493" spans="1:26" s="60" customFormat="1" x14ac:dyDescent="0.3">
      <c r="A493" s="1" t="s">
        <v>714</v>
      </c>
      <c r="B493" s="180" t="s">
        <v>862</v>
      </c>
      <c r="C493" s="141" t="s">
        <v>863</v>
      </c>
      <c r="D493" s="76">
        <v>46189</v>
      </c>
      <c r="E493" s="43" t="s">
        <v>864</v>
      </c>
      <c r="F493" s="43">
        <v>38089490</v>
      </c>
      <c r="G493" s="43" t="s">
        <v>4</v>
      </c>
      <c r="H493" s="44">
        <v>736</v>
      </c>
      <c r="I493" s="43" t="s">
        <v>13</v>
      </c>
      <c r="J493" s="45">
        <v>5860</v>
      </c>
      <c r="K493" s="44">
        <v>427780</v>
      </c>
      <c r="L493" s="44">
        <v>0</v>
      </c>
      <c r="M493" s="43" t="s">
        <v>475</v>
      </c>
      <c r="N493" s="43" t="s">
        <v>476</v>
      </c>
      <c r="O493" s="76">
        <v>46217</v>
      </c>
      <c r="P493" s="43" t="s">
        <v>865</v>
      </c>
      <c r="Q493" s="43"/>
      <c r="R493" s="44">
        <v>180.86</v>
      </c>
      <c r="S493" s="43" t="s">
        <v>13</v>
      </c>
      <c r="T493" s="45">
        <v>2020</v>
      </c>
      <c r="U493" s="44">
        <f>(K493*T493)/J493</f>
        <v>147460</v>
      </c>
      <c r="V493" s="44">
        <f>(T493*L493)/J493</f>
        <v>0</v>
      </c>
      <c r="W493" s="79">
        <f t="shared" ref="W493" si="258">J493-T493</f>
        <v>3840</v>
      </c>
      <c r="X493" s="66">
        <f t="shared" ref="X493" si="259">K493-U493</f>
        <v>280320</v>
      </c>
      <c r="Y493" s="66">
        <f t="shared" ref="Y493" si="260">L493-V493</f>
        <v>0</v>
      </c>
      <c r="Z493" s="67">
        <f t="shared" ref="Z493" si="261">H493-R493</f>
        <v>555.14</v>
      </c>
    </row>
    <row r="494" spans="1:26" x14ac:dyDescent="0.3">
      <c r="A494" s="1"/>
      <c r="B494" s="10"/>
      <c r="C494" s="11"/>
      <c r="D494" s="11"/>
      <c r="E494" s="11"/>
      <c r="F494" s="11"/>
      <c r="G494" s="11"/>
      <c r="H494" s="12"/>
      <c r="I494" s="11"/>
      <c r="J494" s="13"/>
      <c r="K494" s="12"/>
      <c r="L494" s="12"/>
      <c r="M494" s="11"/>
      <c r="N494" s="11"/>
      <c r="O494" s="11"/>
      <c r="P494" s="11"/>
      <c r="Q494" s="11"/>
      <c r="R494" s="12"/>
      <c r="S494" s="11"/>
      <c r="T494" s="13"/>
      <c r="U494" s="12"/>
      <c r="V494" s="12"/>
      <c r="W494" s="134"/>
      <c r="X494" s="68"/>
      <c r="Y494" s="150"/>
      <c r="Z494" s="109"/>
    </row>
    <row r="495" spans="1:26" s="60" customFormat="1" x14ac:dyDescent="0.3">
      <c r="A495" s="106" t="s">
        <v>364</v>
      </c>
      <c r="B495" s="181" t="s">
        <v>866</v>
      </c>
      <c r="C495" s="111" t="s">
        <v>867</v>
      </c>
      <c r="D495" s="182">
        <v>46190</v>
      </c>
      <c r="E495" s="107" t="s">
        <v>868</v>
      </c>
      <c r="F495" s="107">
        <v>39232100</v>
      </c>
      <c r="G495" s="107" t="s">
        <v>154</v>
      </c>
      <c r="H495" s="100">
        <v>10800</v>
      </c>
      <c r="I495" s="107" t="s">
        <v>13</v>
      </c>
      <c r="J495" s="99">
        <v>6000</v>
      </c>
      <c r="K495" s="100">
        <v>13331924.09</v>
      </c>
      <c r="L495" s="100">
        <v>6266256</v>
      </c>
      <c r="M495" s="107" t="s">
        <v>475</v>
      </c>
      <c r="N495" s="107" t="s">
        <v>476</v>
      </c>
      <c r="O495" s="182">
        <v>46224</v>
      </c>
      <c r="P495" s="107" t="s">
        <v>869</v>
      </c>
      <c r="Q495" s="107"/>
      <c r="R495" s="100">
        <v>10800</v>
      </c>
      <c r="S495" s="107" t="s">
        <v>13</v>
      </c>
      <c r="T495" s="99">
        <v>6000</v>
      </c>
      <c r="U495" s="100">
        <f t="shared" ref="U495:U496" si="262">(K495*T495)/J495</f>
        <v>13331924.09</v>
      </c>
      <c r="V495" s="100">
        <f t="shared" ref="V495:V496" si="263">(T495*L495)/J495</f>
        <v>6266256</v>
      </c>
      <c r="W495" s="133">
        <f>J495-T495</f>
        <v>0</v>
      </c>
      <c r="X495" s="71">
        <f>K495-U495</f>
        <v>0</v>
      </c>
      <c r="Y495" s="71">
        <f t="shared" ref="Y495:Y496" si="264">L495-V495</f>
        <v>0</v>
      </c>
      <c r="Z495" s="119">
        <f>H495-R495</f>
        <v>0</v>
      </c>
    </row>
    <row r="496" spans="1:26" s="60" customFormat="1" x14ac:dyDescent="0.3">
      <c r="A496" s="106"/>
      <c r="B496" s="181" t="s">
        <v>870</v>
      </c>
      <c r="C496" s="107"/>
      <c r="D496" s="107"/>
      <c r="E496" s="107"/>
      <c r="F496" s="107">
        <v>39232100</v>
      </c>
      <c r="G496" s="107" t="s">
        <v>154</v>
      </c>
      <c r="H496" s="100">
        <v>2400</v>
      </c>
      <c r="I496" s="107" t="s">
        <v>13</v>
      </c>
      <c r="J496" s="99">
        <v>2000</v>
      </c>
      <c r="K496" s="100">
        <v>2809319.67</v>
      </c>
      <c r="L496" s="100">
        <v>1320381</v>
      </c>
      <c r="M496" s="107" t="s">
        <v>475</v>
      </c>
      <c r="N496" s="107" t="s">
        <v>476</v>
      </c>
      <c r="O496" s="182">
        <v>46224</v>
      </c>
      <c r="P496" s="107" t="s">
        <v>869</v>
      </c>
      <c r="Q496" s="107"/>
      <c r="R496" s="100">
        <v>2400</v>
      </c>
      <c r="S496" s="107" t="s">
        <v>13</v>
      </c>
      <c r="T496" s="99">
        <v>2000</v>
      </c>
      <c r="U496" s="100">
        <f t="shared" si="262"/>
        <v>2809319.67</v>
      </c>
      <c r="V496" s="100">
        <f t="shared" si="263"/>
        <v>1320381</v>
      </c>
      <c r="W496" s="133">
        <f>J496-T496</f>
        <v>0</v>
      </c>
      <c r="X496" s="71">
        <f>K496-U496</f>
        <v>0</v>
      </c>
      <c r="Y496" s="71">
        <f t="shared" si="264"/>
        <v>0</v>
      </c>
      <c r="Z496" s="119">
        <f>H496-R496</f>
        <v>0</v>
      </c>
    </row>
    <row r="497" spans="1:26" x14ac:dyDescent="0.3">
      <c r="A497" s="1"/>
      <c r="B497" s="10"/>
      <c r="C497" s="11"/>
      <c r="D497" s="11"/>
      <c r="E497" s="11"/>
      <c r="F497" s="11"/>
      <c r="G497" s="11"/>
      <c r="H497" s="12"/>
      <c r="I497" s="11"/>
      <c r="J497" s="13"/>
      <c r="K497" s="12"/>
      <c r="L497" s="12"/>
      <c r="M497" s="11"/>
      <c r="N497" s="11"/>
      <c r="O497" s="11"/>
      <c r="P497" s="11"/>
      <c r="Q497" s="11"/>
      <c r="R497" s="12"/>
      <c r="S497" s="11"/>
      <c r="T497" s="13"/>
      <c r="U497" s="12"/>
      <c r="V497" s="12"/>
      <c r="W497" s="134"/>
      <c r="X497" s="68"/>
      <c r="Y497" s="150"/>
      <c r="Z497" s="109"/>
    </row>
    <row r="498" spans="1:26" x14ac:dyDescent="0.3">
      <c r="A498" s="1" t="s">
        <v>871</v>
      </c>
      <c r="B498" s="73" t="s">
        <v>872</v>
      </c>
      <c r="C498" s="15" t="s">
        <v>873</v>
      </c>
      <c r="D498" s="16">
        <v>46196</v>
      </c>
      <c r="E498" s="11" t="s">
        <v>874</v>
      </c>
      <c r="F498" s="11">
        <v>30049000</v>
      </c>
      <c r="G498" s="11" t="s">
        <v>12</v>
      </c>
      <c r="H498" s="12">
        <v>229.74</v>
      </c>
      <c r="I498" s="11" t="s">
        <v>13</v>
      </c>
      <c r="J498" s="13">
        <v>10560</v>
      </c>
      <c r="K498" s="12">
        <v>2627852.46</v>
      </c>
      <c r="L498" s="12">
        <v>52808</v>
      </c>
      <c r="M498" s="11" t="s">
        <v>204</v>
      </c>
      <c r="N498" s="11" t="s">
        <v>205</v>
      </c>
      <c r="O498" s="16">
        <v>46212</v>
      </c>
      <c r="P498" s="11" t="s">
        <v>875</v>
      </c>
      <c r="Q498" s="11"/>
      <c r="R498" s="12">
        <v>59</v>
      </c>
      <c r="S498" s="11" t="s">
        <v>13</v>
      </c>
      <c r="T498" s="13">
        <v>230</v>
      </c>
      <c r="U498" s="12">
        <f>(K498*T498)/J498</f>
        <v>57235.422897727265</v>
      </c>
      <c r="V498" s="12">
        <f>(T498*L498)/J498</f>
        <v>1150.1742424242425</v>
      </c>
      <c r="W498" s="79">
        <f>J498-T498-T499</f>
        <v>9230</v>
      </c>
      <c r="X498" s="66">
        <f>K498-U498-U499</f>
        <v>2296882.4058522726</v>
      </c>
      <c r="Y498" s="66">
        <f>L498-V498-V499</f>
        <v>46156.992424242424</v>
      </c>
      <c r="Z498" s="67">
        <f>H498-R498-R499</f>
        <v>147.74</v>
      </c>
    </row>
    <row r="499" spans="1:26" x14ac:dyDescent="0.3">
      <c r="A499" s="1"/>
      <c r="B499" s="73"/>
      <c r="C499" s="15"/>
      <c r="D499" s="16"/>
      <c r="E499" s="11"/>
      <c r="F499" s="11"/>
      <c r="G499" s="11"/>
      <c r="H499" s="12"/>
      <c r="I499" s="11"/>
      <c r="J499" s="13"/>
      <c r="K499" s="12"/>
      <c r="L499" s="12"/>
      <c r="M499" s="11" t="s">
        <v>309</v>
      </c>
      <c r="N499" s="11" t="s">
        <v>876</v>
      </c>
      <c r="O499" s="16">
        <v>46238</v>
      </c>
      <c r="P499" s="11" t="s">
        <v>877</v>
      </c>
      <c r="Q499" s="11"/>
      <c r="R499" s="12">
        <v>23</v>
      </c>
      <c r="S499" s="11" t="s">
        <v>13</v>
      </c>
      <c r="T499" s="13">
        <v>1100</v>
      </c>
      <c r="U499" s="12">
        <f>(K498*T499)/J498</f>
        <v>273734.63124999998</v>
      </c>
      <c r="V499" s="12">
        <f>(T499*L498)/J498</f>
        <v>5500.833333333333</v>
      </c>
      <c r="W499" s="79"/>
      <c r="X499" s="66"/>
      <c r="Y499" s="66"/>
      <c r="Z499" s="67"/>
    </row>
    <row r="500" spans="1:26" x14ac:dyDescent="0.3">
      <c r="A500" s="1"/>
      <c r="B500" s="10"/>
      <c r="C500" s="11"/>
      <c r="D500" s="11"/>
      <c r="E500" s="11"/>
      <c r="F500" s="11"/>
      <c r="G500" s="11"/>
      <c r="H500" s="12"/>
      <c r="I500" s="11"/>
      <c r="J500" s="13"/>
      <c r="K500" s="12"/>
      <c r="L500" s="12"/>
      <c r="M500" s="11"/>
      <c r="N500" s="11"/>
      <c r="O500" s="11"/>
      <c r="P500" s="11"/>
      <c r="Q500" s="11"/>
      <c r="R500" s="12"/>
      <c r="S500" s="11"/>
      <c r="T500" s="13"/>
      <c r="U500" s="12"/>
      <c r="V500" s="12"/>
      <c r="W500" s="134"/>
      <c r="X500" s="68"/>
      <c r="Y500" s="150"/>
      <c r="Z500" s="109"/>
    </row>
    <row r="501" spans="1:26" x14ac:dyDescent="0.3">
      <c r="A501" s="1" t="s">
        <v>878</v>
      </c>
      <c r="B501" s="73" t="s">
        <v>879</v>
      </c>
      <c r="C501" s="15" t="s">
        <v>880</v>
      </c>
      <c r="D501" s="16">
        <v>46196</v>
      </c>
      <c r="E501" s="11" t="s">
        <v>881</v>
      </c>
      <c r="F501" s="11">
        <v>90278900</v>
      </c>
      <c r="G501" s="11" t="s">
        <v>90</v>
      </c>
      <c r="H501" s="12">
        <v>1</v>
      </c>
      <c r="I501" s="11" t="s">
        <v>5</v>
      </c>
      <c r="J501" s="13">
        <v>1</v>
      </c>
      <c r="K501" s="12">
        <v>973425.06</v>
      </c>
      <c r="L501" s="12">
        <v>175468</v>
      </c>
      <c r="M501" s="11"/>
      <c r="N501" s="11"/>
      <c r="O501" s="11"/>
      <c r="P501" s="11"/>
      <c r="Q501" s="11"/>
      <c r="R501" s="12"/>
      <c r="S501" s="11"/>
      <c r="T501" s="13"/>
      <c r="U501" s="12"/>
      <c r="V501" s="12"/>
      <c r="W501" s="133">
        <f t="shared" ref="W501:W512" si="265">J501-T501</f>
        <v>1</v>
      </c>
      <c r="X501" s="71">
        <f t="shared" ref="X501:X512" si="266">K501-U501</f>
        <v>973425.06</v>
      </c>
      <c r="Y501" s="71">
        <f t="shared" ref="Y501:Y512" si="267">L501-V501</f>
        <v>175468</v>
      </c>
      <c r="Z501" s="119">
        <f t="shared" ref="Z501:Z512" si="268">H501-R501</f>
        <v>1</v>
      </c>
    </row>
    <row r="502" spans="1:26" x14ac:dyDescent="0.3">
      <c r="A502" s="1"/>
      <c r="B502" s="73" t="s">
        <v>882</v>
      </c>
      <c r="C502" s="11"/>
      <c r="D502" s="11"/>
      <c r="E502" s="11"/>
      <c r="F502" s="11">
        <v>38229000</v>
      </c>
      <c r="G502" s="11" t="s">
        <v>90</v>
      </c>
      <c r="H502" s="12">
        <v>0.43</v>
      </c>
      <c r="I502" s="11" t="s">
        <v>13</v>
      </c>
      <c r="J502" s="13">
        <v>2</v>
      </c>
      <c r="K502" s="12">
        <v>33255.79</v>
      </c>
      <c r="L502" s="12">
        <v>5987</v>
      </c>
      <c r="M502" s="11"/>
      <c r="N502" s="11"/>
      <c r="O502" s="11"/>
      <c r="P502" s="11"/>
      <c r="Q502" s="11"/>
      <c r="R502" s="12"/>
      <c r="S502" s="11"/>
      <c r="T502" s="13"/>
      <c r="U502" s="12"/>
      <c r="V502" s="12"/>
      <c r="W502" s="133">
        <f t="shared" si="265"/>
        <v>2</v>
      </c>
      <c r="X502" s="71">
        <f t="shared" si="266"/>
        <v>33255.79</v>
      </c>
      <c r="Y502" s="71">
        <f t="shared" si="267"/>
        <v>5987</v>
      </c>
      <c r="Z502" s="119">
        <f t="shared" si="268"/>
        <v>0.43</v>
      </c>
    </row>
    <row r="503" spans="1:26" x14ac:dyDescent="0.3">
      <c r="A503" s="1"/>
      <c r="B503" s="73" t="s">
        <v>883</v>
      </c>
      <c r="C503" s="11"/>
      <c r="D503" s="11"/>
      <c r="E503" s="11"/>
      <c r="F503" s="11">
        <v>38229000</v>
      </c>
      <c r="G503" s="11" t="s">
        <v>90</v>
      </c>
      <c r="H503" s="12">
        <v>0.56000000000000005</v>
      </c>
      <c r="I503" s="11" t="s">
        <v>13</v>
      </c>
      <c r="J503" s="13">
        <v>1</v>
      </c>
      <c r="K503" s="12">
        <v>18024.939999999999</v>
      </c>
      <c r="L503" s="12">
        <v>3245</v>
      </c>
      <c r="M503" s="11"/>
      <c r="N503" s="11"/>
      <c r="O503" s="11"/>
      <c r="P503" s="11"/>
      <c r="Q503" s="11"/>
      <c r="R503" s="12"/>
      <c r="S503" s="11"/>
      <c r="T503" s="13"/>
      <c r="U503" s="12"/>
      <c r="V503" s="12"/>
      <c r="W503" s="133">
        <f t="shared" si="265"/>
        <v>1</v>
      </c>
      <c r="X503" s="71">
        <f t="shared" si="266"/>
        <v>18024.939999999999</v>
      </c>
      <c r="Y503" s="71">
        <f t="shared" si="267"/>
        <v>3245</v>
      </c>
      <c r="Z503" s="119">
        <f t="shared" si="268"/>
        <v>0.56000000000000005</v>
      </c>
    </row>
    <row r="504" spans="1:26" x14ac:dyDescent="0.3">
      <c r="A504" s="1"/>
      <c r="B504" s="73" t="s">
        <v>884</v>
      </c>
      <c r="C504" s="11"/>
      <c r="D504" s="11"/>
      <c r="E504" s="11"/>
      <c r="F504" s="11">
        <v>38229000</v>
      </c>
      <c r="G504" s="11" t="s">
        <v>90</v>
      </c>
      <c r="H504" s="12">
        <v>0.43</v>
      </c>
      <c r="I504" s="11" t="s">
        <v>13</v>
      </c>
      <c r="J504" s="13">
        <v>1</v>
      </c>
      <c r="K504" s="12">
        <v>17872.060000000001</v>
      </c>
      <c r="L504" s="12">
        <v>3218</v>
      </c>
      <c r="M504" s="11"/>
      <c r="N504" s="11"/>
      <c r="O504" s="11"/>
      <c r="P504" s="11"/>
      <c r="Q504" s="11"/>
      <c r="R504" s="12"/>
      <c r="S504" s="11"/>
      <c r="T504" s="13"/>
      <c r="U504" s="12"/>
      <c r="V504" s="12"/>
      <c r="W504" s="133">
        <f t="shared" si="265"/>
        <v>1</v>
      </c>
      <c r="X504" s="71">
        <f t="shared" si="266"/>
        <v>17872.060000000001</v>
      </c>
      <c r="Y504" s="71">
        <f t="shared" si="267"/>
        <v>3218</v>
      </c>
      <c r="Z504" s="119">
        <f t="shared" si="268"/>
        <v>0.43</v>
      </c>
    </row>
    <row r="505" spans="1:26" x14ac:dyDescent="0.3">
      <c r="A505" s="1"/>
      <c r="B505" s="73" t="s">
        <v>885</v>
      </c>
      <c r="C505" s="11"/>
      <c r="D505" s="11"/>
      <c r="E505" s="11"/>
      <c r="F505" s="11">
        <v>38229000</v>
      </c>
      <c r="G505" s="11" t="s">
        <v>90</v>
      </c>
      <c r="H505" s="12">
        <v>0.56000000000000005</v>
      </c>
      <c r="I505" s="11" t="s">
        <v>13</v>
      </c>
      <c r="J505" s="13">
        <v>1</v>
      </c>
      <c r="K505" s="12">
        <v>6864.73</v>
      </c>
      <c r="L505" s="12">
        <v>1237</v>
      </c>
      <c r="M505" s="11"/>
      <c r="N505" s="11"/>
      <c r="O505" s="11"/>
      <c r="P505" s="11"/>
      <c r="Q505" s="11"/>
      <c r="R505" s="12"/>
      <c r="S505" s="11"/>
      <c r="T505" s="13"/>
      <c r="U505" s="12"/>
      <c r="V505" s="12"/>
      <c r="W505" s="133">
        <f t="shared" si="265"/>
        <v>1</v>
      </c>
      <c r="X505" s="71">
        <f t="shared" si="266"/>
        <v>6864.73</v>
      </c>
      <c r="Y505" s="71">
        <f t="shared" si="267"/>
        <v>1237</v>
      </c>
      <c r="Z505" s="119">
        <f t="shared" si="268"/>
        <v>0.56000000000000005</v>
      </c>
    </row>
    <row r="506" spans="1:26" x14ac:dyDescent="0.3">
      <c r="A506" s="1"/>
      <c r="B506" s="73" t="s">
        <v>886</v>
      </c>
      <c r="C506" s="11"/>
      <c r="D506" s="11"/>
      <c r="E506" s="11"/>
      <c r="F506" s="11">
        <v>38229000</v>
      </c>
      <c r="G506" s="11" t="s">
        <v>90</v>
      </c>
      <c r="H506" s="12">
        <v>0.56000000000000005</v>
      </c>
      <c r="I506" s="11" t="s">
        <v>13</v>
      </c>
      <c r="J506" s="13">
        <v>1</v>
      </c>
      <c r="K506" s="12">
        <v>9995.7099999999991</v>
      </c>
      <c r="L506" s="12">
        <v>1800</v>
      </c>
      <c r="M506" s="11"/>
      <c r="N506" s="11"/>
      <c r="O506" s="11"/>
      <c r="P506" s="11"/>
      <c r="Q506" s="11"/>
      <c r="R506" s="12"/>
      <c r="S506" s="11"/>
      <c r="T506" s="13"/>
      <c r="U506" s="12"/>
      <c r="V506" s="12"/>
      <c r="W506" s="133">
        <f t="shared" si="265"/>
        <v>1</v>
      </c>
      <c r="X506" s="71">
        <f t="shared" si="266"/>
        <v>9995.7099999999991</v>
      </c>
      <c r="Y506" s="71">
        <f t="shared" si="267"/>
        <v>1800</v>
      </c>
      <c r="Z506" s="119">
        <f t="shared" si="268"/>
        <v>0.56000000000000005</v>
      </c>
    </row>
    <row r="507" spans="1:26" x14ac:dyDescent="0.3">
      <c r="A507" s="1"/>
      <c r="B507" s="73" t="s">
        <v>887</v>
      </c>
      <c r="C507" s="11"/>
      <c r="D507" s="11"/>
      <c r="E507" s="11"/>
      <c r="F507" s="11">
        <v>38229000</v>
      </c>
      <c r="G507" s="11" t="s">
        <v>90</v>
      </c>
      <c r="H507" s="12">
        <v>0.42</v>
      </c>
      <c r="I507" s="11" t="s">
        <v>13</v>
      </c>
      <c r="J507" s="13">
        <v>1</v>
      </c>
      <c r="K507" s="12">
        <v>22998.6</v>
      </c>
      <c r="L507" s="12">
        <v>4140</v>
      </c>
      <c r="M507" s="11"/>
      <c r="N507" s="11"/>
      <c r="O507" s="11"/>
      <c r="P507" s="11"/>
      <c r="Q507" s="11"/>
      <c r="R507" s="12"/>
      <c r="S507" s="11"/>
      <c r="T507" s="13"/>
      <c r="U507" s="12"/>
      <c r="V507" s="12"/>
      <c r="W507" s="133">
        <f t="shared" si="265"/>
        <v>1</v>
      </c>
      <c r="X507" s="71">
        <f t="shared" si="266"/>
        <v>22998.6</v>
      </c>
      <c r="Y507" s="71">
        <f t="shared" si="267"/>
        <v>4140</v>
      </c>
      <c r="Z507" s="119">
        <f t="shared" si="268"/>
        <v>0.42</v>
      </c>
    </row>
    <row r="508" spans="1:26" x14ac:dyDescent="0.3">
      <c r="A508" s="1"/>
      <c r="B508" s="73" t="s">
        <v>888</v>
      </c>
      <c r="C508" s="11"/>
      <c r="D508" s="11"/>
      <c r="E508" s="11"/>
      <c r="F508" s="11">
        <v>38229000</v>
      </c>
      <c r="G508" s="11" t="s">
        <v>90</v>
      </c>
      <c r="H508" s="12">
        <v>0.56000000000000005</v>
      </c>
      <c r="I508" s="11" t="s">
        <v>13</v>
      </c>
      <c r="J508" s="13">
        <v>1</v>
      </c>
      <c r="K508" s="12">
        <v>8591.76</v>
      </c>
      <c r="L508" s="12">
        <v>1547</v>
      </c>
      <c r="M508" s="11"/>
      <c r="N508" s="11"/>
      <c r="O508" s="11"/>
      <c r="P508" s="11"/>
      <c r="Q508" s="11"/>
      <c r="R508" s="12"/>
      <c r="S508" s="11"/>
      <c r="T508" s="13"/>
      <c r="U508" s="12"/>
      <c r="V508" s="12"/>
      <c r="W508" s="133">
        <f t="shared" si="265"/>
        <v>1</v>
      </c>
      <c r="X508" s="71">
        <f t="shared" si="266"/>
        <v>8591.76</v>
      </c>
      <c r="Y508" s="71">
        <f t="shared" si="267"/>
        <v>1547</v>
      </c>
      <c r="Z508" s="119">
        <f t="shared" si="268"/>
        <v>0.56000000000000005</v>
      </c>
    </row>
    <row r="509" spans="1:26" x14ac:dyDescent="0.3">
      <c r="A509" s="1"/>
      <c r="B509" s="73" t="s">
        <v>889</v>
      </c>
      <c r="C509" s="11"/>
      <c r="D509" s="11"/>
      <c r="E509" s="11"/>
      <c r="F509" s="11">
        <v>38229000</v>
      </c>
      <c r="G509" s="11" t="s">
        <v>90</v>
      </c>
      <c r="H509" s="12">
        <v>0.56000000000000005</v>
      </c>
      <c r="I509" s="11" t="s">
        <v>13</v>
      </c>
      <c r="J509" s="13">
        <v>1</v>
      </c>
      <c r="K509" s="12">
        <v>13059.22</v>
      </c>
      <c r="L509" s="12">
        <v>2352</v>
      </c>
      <c r="M509" s="11"/>
      <c r="N509" s="11"/>
      <c r="O509" s="11"/>
      <c r="P509" s="11"/>
      <c r="Q509" s="11"/>
      <c r="R509" s="12"/>
      <c r="S509" s="11"/>
      <c r="T509" s="13"/>
      <c r="U509" s="12"/>
      <c r="V509" s="12"/>
      <c r="W509" s="133">
        <f t="shared" si="265"/>
        <v>1</v>
      </c>
      <c r="X509" s="71">
        <f t="shared" si="266"/>
        <v>13059.22</v>
      </c>
      <c r="Y509" s="71">
        <f t="shared" si="267"/>
        <v>2352</v>
      </c>
      <c r="Z509" s="119">
        <f t="shared" si="268"/>
        <v>0.56000000000000005</v>
      </c>
    </row>
    <row r="510" spans="1:26" x14ac:dyDescent="0.3">
      <c r="A510" s="1"/>
      <c r="B510" s="73" t="s">
        <v>890</v>
      </c>
      <c r="C510" s="11"/>
      <c r="D510" s="11"/>
      <c r="E510" s="11"/>
      <c r="F510" s="11">
        <v>38229000</v>
      </c>
      <c r="G510" s="11" t="s">
        <v>90</v>
      </c>
      <c r="H510" s="12">
        <v>0.42</v>
      </c>
      <c r="I510" s="11" t="s">
        <v>13</v>
      </c>
      <c r="J510" s="13">
        <v>1</v>
      </c>
      <c r="K510" s="12">
        <v>17195.96</v>
      </c>
      <c r="L510" s="12">
        <v>3096</v>
      </c>
      <c r="M510" s="11"/>
      <c r="N510" s="11"/>
      <c r="O510" s="11"/>
      <c r="P510" s="11"/>
      <c r="Q510" s="11"/>
      <c r="R510" s="12"/>
      <c r="S510" s="11"/>
      <c r="T510" s="13"/>
      <c r="U510" s="12"/>
      <c r="V510" s="12"/>
      <c r="W510" s="133">
        <f t="shared" si="265"/>
        <v>1</v>
      </c>
      <c r="X510" s="71">
        <f t="shared" si="266"/>
        <v>17195.96</v>
      </c>
      <c r="Y510" s="71">
        <f t="shared" si="267"/>
        <v>3096</v>
      </c>
      <c r="Z510" s="119">
        <f t="shared" si="268"/>
        <v>0.42</v>
      </c>
    </row>
    <row r="511" spans="1:26" x14ac:dyDescent="0.3">
      <c r="A511" s="1"/>
      <c r="B511" s="73" t="s">
        <v>891</v>
      </c>
      <c r="C511" s="11"/>
      <c r="D511" s="11"/>
      <c r="E511" s="11"/>
      <c r="F511" s="11">
        <v>38229000</v>
      </c>
      <c r="G511" s="11" t="s">
        <v>90</v>
      </c>
      <c r="H511" s="12">
        <v>0.42</v>
      </c>
      <c r="I511" s="11" t="s">
        <v>13</v>
      </c>
      <c r="J511" s="13">
        <v>15</v>
      </c>
      <c r="K511" s="12">
        <v>163831.66</v>
      </c>
      <c r="L511" s="12">
        <v>29491</v>
      </c>
      <c r="M511" s="11"/>
      <c r="N511" s="11"/>
      <c r="O511" s="11"/>
      <c r="P511" s="11"/>
      <c r="Q511" s="11"/>
      <c r="R511" s="12"/>
      <c r="S511" s="11"/>
      <c r="T511" s="13"/>
      <c r="U511" s="12"/>
      <c r="V511" s="12"/>
      <c r="W511" s="133">
        <f t="shared" si="265"/>
        <v>15</v>
      </c>
      <c r="X511" s="71">
        <f t="shared" si="266"/>
        <v>163831.66</v>
      </c>
      <c r="Y511" s="71">
        <f t="shared" si="267"/>
        <v>29491</v>
      </c>
      <c r="Z511" s="119">
        <f t="shared" si="268"/>
        <v>0.42</v>
      </c>
    </row>
    <row r="512" spans="1:26" x14ac:dyDescent="0.3">
      <c r="A512" s="1"/>
      <c r="B512" s="73" t="s">
        <v>892</v>
      </c>
      <c r="C512" s="11"/>
      <c r="D512" s="11"/>
      <c r="E512" s="11"/>
      <c r="F512" s="11">
        <v>38229000</v>
      </c>
      <c r="G512" s="11" t="s">
        <v>90</v>
      </c>
      <c r="H512" s="12">
        <v>0.55000000000000004</v>
      </c>
      <c r="I512" s="11" t="s">
        <v>13</v>
      </c>
      <c r="J512" s="13">
        <v>20</v>
      </c>
      <c r="K512" s="12">
        <v>61340.92</v>
      </c>
      <c r="L512" s="12">
        <v>11042</v>
      </c>
      <c r="M512" s="11"/>
      <c r="N512" s="11"/>
      <c r="O512" s="11"/>
      <c r="P512" s="11"/>
      <c r="Q512" s="11"/>
      <c r="R512" s="12"/>
      <c r="S512" s="11"/>
      <c r="T512" s="13"/>
      <c r="U512" s="12"/>
      <c r="V512" s="12"/>
      <c r="W512" s="133">
        <f t="shared" si="265"/>
        <v>20</v>
      </c>
      <c r="X512" s="71">
        <f t="shared" si="266"/>
        <v>61340.92</v>
      </c>
      <c r="Y512" s="71">
        <f t="shared" si="267"/>
        <v>11042</v>
      </c>
      <c r="Z512" s="119">
        <f t="shared" si="268"/>
        <v>0.55000000000000004</v>
      </c>
    </row>
    <row r="513" spans="1:26" x14ac:dyDescent="0.3">
      <c r="A513" s="1"/>
      <c r="B513" s="10"/>
      <c r="C513" s="11"/>
      <c r="D513" s="11"/>
      <c r="E513" s="11"/>
      <c r="F513" s="11"/>
      <c r="G513" s="11"/>
      <c r="H513" s="12"/>
      <c r="I513" s="11"/>
      <c r="J513" s="13"/>
      <c r="K513" s="12"/>
      <c r="L513" s="12"/>
      <c r="M513" s="11"/>
      <c r="N513" s="11"/>
      <c r="O513" s="11"/>
      <c r="P513" s="11"/>
      <c r="Q513" s="11"/>
      <c r="R513" s="12"/>
      <c r="S513" s="11"/>
      <c r="T513" s="13"/>
      <c r="U513" s="12"/>
      <c r="V513" s="12"/>
      <c r="W513" s="149"/>
      <c r="X513" s="150"/>
      <c r="Y513" s="150"/>
      <c r="Z513" s="151"/>
    </row>
    <row r="514" spans="1:26" x14ac:dyDescent="0.3">
      <c r="A514" s="1" t="s">
        <v>893</v>
      </c>
      <c r="B514" s="73" t="s">
        <v>894</v>
      </c>
      <c r="C514" s="15" t="s">
        <v>895</v>
      </c>
      <c r="D514" s="16">
        <v>46197</v>
      </c>
      <c r="E514" s="11" t="s">
        <v>896</v>
      </c>
      <c r="F514" s="11">
        <v>39249000</v>
      </c>
      <c r="G514" s="11" t="s">
        <v>4</v>
      </c>
      <c r="H514" s="12">
        <v>25.92</v>
      </c>
      <c r="I514" s="11" t="s">
        <v>13</v>
      </c>
      <c r="J514" s="13">
        <v>72</v>
      </c>
      <c r="K514" s="12">
        <v>8158.32</v>
      </c>
      <c r="L514" s="12">
        <v>0</v>
      </c>
      <c r="M514" s="11" t="s">
        <v>330</v>
      </c>
      <c r="N514" s="11" t="s">
        <v>331</v>
      </c>
      <c r="O514" s="16">
        <v>46225</v>
      </c>
      <c r="P514" s="11" t="s">
        <v>897</v>
      </c>
      <c r="Q514" s="11"/>
      <c r="R514" s="12">
        <v>22.25</v>
      </c>
      <c r="S514" s="11" t="s">
        <v>13</v>
      </c>
      <c r="T514" s="13">
        <v>60</v>
      </c>
      <c r="U514" s="12">
        <f>(K514*T514)/J514</f>
        <v>6798.5999999999995</v>
      </c>
      <c r="V514" s="12">
        <f>(T514*L514)/J514</f>
        <v>0</v>
      </c>
      <c r="W514" s="133">
        <f>J514-T514</f>
        <v>12</v>
      </c>
      <c r="X514" s="71">
        <f>K514-U514</f>
        <v>1359.7200000000003</v>
      </c>
      <c r="Y514" s="71">
        <f t="shared" ref="Y514" si="269">L514-V514</f>
        <v>0</v>
      </c>
      <c r="Z514" s="119">
        <f>H514-R514</f>
        <v>3.6700000000000017</v>
      </c>
    </row>
    <row r="515" spans="1:26" x14ac:dyDescent="0.3">
      <c r="A515" s="1"/>
      <c r="B515" s="10"/>
      <c r="C515" s="11"/>
      <c r="D515" s="11"/>
      <c r="E515" s="11"/>
      <c r="F515" s="11"/>
      <c r="G515" s="11"/>
      <c r="H515" s="12"/>
      <c r="I515" s="11"/>
      <c r="J515" s="13"/>
      <c r="K515" s="12"/>
      <c r="L515" s="12"/>
      <c r="M515" s="11"/>
      <c r="N515" s="11"/>
      <c r="O515" s="11"/>
      <c r="P515" s="11"/>
      <c r="Q515" s="11"/>
      <c r="R515" s="12"/>
      <c r="S515" s="11"/>
      <c r="T515" s="13"/>
      <c r="U515" s="12"/>
      <c r="V515" s="12"/>
      <c r="W515" s="149"/>
      <c r="X515" s="150"/>
      <c r="Y515" s="150"/>
      <c r="Z515" s="151"/>
    </row>
    <row r="516" spans="1:26" x14ac:dyDescent="0.3">
      <c r="A516" s="106" t="s">
        <v>898</v>
      </c>
      <c r="B516" s="213" t="s">
        <v>899</v>
      </c>
      <c r="C516" s="87" t="s">
        <v>900</v>
      </c>
      <c r="D516" s="88">
        <v>46197</v>
      </c>
      <c r="E516" s="89" t="s">
        <v>901</v>
      </c>
      <c r="F516" s="89">
        <v>90183900</v>
      </c>
      <c r="G516" s="89" t="s">
        <v>4</v>
      </c>
      <c r="H516" s="90">
        <v>14</v>
      </c>
      <c r="I516" s="89" t="s">
        <v>5</v>
      </c>
      <c r="J516" s="91">
        <v>14</v>
      </c>
      <c r="K516" s="90">
        <v>79800</v>
      </c>
      <c r="L516" s="90">
        <v>0</v>
      </c>
      <c r="M516" s="89" t="s">
        <v>330</v>
      </c>
      <c r="N516" s="89" t="s">
        <v>331</v>
      </c>
      <c r="O516" s="88">
        <v>46225</v>
      </c>
      <c r="P516" s="89" t="s">
        <v>902</v>
      </c>
      <c r="Q516" s="89"/>
      <c r="R516" s="90">
        <v>14</v>
      </c>
      <c r="S516" s="89" t="s">
        <v>5</v>
      </c>
      <c r="T516" s="91">
        <v>14</v>
      </c>
      <c r="U516" s="90">
        <v>79800</v>
      </c>
      <c r="V516" s="90">
        <v>0</v>
      </c>
      <c r="W516" s="133">
        <f>J516-T516</f>
        <v>0</v>
      </c>
      <c r="X516" s="71">
        <f>K516-U516</f>
        <v>0</v>
      </c>
      <c r="Y516" s="71">
        <f t="shared" ref="Y516" si="270">L516-V516</f>
        <v>0</v>
      </c>
      <c r="Z516" s="119">
        <f>H516-R516</f>
        <v>0</v>
      </c>
    </row>
    <row r="517" spans="1:26" x14ac:dyDescent="0.3">
      <c r="A517" s="1"/>
      <c r="B517" s="10"/>
      <c r="C517" s="11"/>
      <c r="D517" s="11"/>
      <c r="E517" s="11"/>
      <c r="F517" s="11"/>
      <c r="G517" s="11"/>
      <c r="H517" s="12"/>
      <c r="I517" s="11"/>
      <c r="J517" s="13"/>
      <c r="K517" s="12"/>
      <c r="L517" s="12"/>
      <c r="M517" s="11"/>
      <c r="N517" s="11"/>
      <c r="O517" s="11"/>
      <c r="P517" s="11"/>
      <c r="Q517" s="11"/>
      <c r="R517" s="12"/>
      <c r="S517" s="11"/>
      <c r="T517" s="13"/>
      <c r="U517" s="12"/>
      <c r="V517" s="12"/>
      <c r="W517" s="149"/>
      <c r="X517" s="150"/>
      <c r="Y517" s="150"/>
      <c r="Z517" s="151"/>
    </row>
    <row r="518" spans="1:26" x14ac:dyDescent="0.3">
      <c r="A518" s="106" t="s">
        <v>903</v>
      </c>
      <c r="B518" s="213" t="s">
        <v>904</v>
      </c>
      <c r="C518" s="87" t="s">
        <v>905</v>
      </c>
      <c r="D518" s="88">
        <v>46197</v>
      </c>
      <c r="E518" s="89" t="s">
        <v>906</v>
      </c>
      <c r="F518" s="89">
        <v>96190090</v>
      </c>
      <c r="G518" s="89" t="s">
        <v>4</v>
      </c>
      <c r="H518" s="90">
        <v>27.75</v>
      </c>
      <c r="I518" s="89" t="s">
        <v>13</v>
      </c>
      <c r="J518" s="91">
        <v>30</v>
      </c>
      <c r="K518" s="90">
        <v>21000</v>
      </c>
      <c r="L518" s="90">
        <v>0</v>
      </c>
      <c r="M518" s="89" t="s">
        <v>330</v>
      </c>
      <c r="N518" s="89" t="s">
        <v>331</v>
      </c>
      <c r="O518" s="88">
        <v>46225</v>
      </c>
      <c r="P518" s="89" t="s">
        <v>907</v>
      </c>
      <c r="Q518" s="89"/>
      <c r="R518" s="90">
        <v>27.75</v>
      </c>
      <c r="S518" s="89" t="s">
        <v>13</v>
      </c>
      <c r="T518" s="91">
        <v>30</v>
      </c>
      <c r="U518" s="90">
        <v>21000</v>
      </c>
      <c r="V518" s="90">
        <v>0</v>
      </c>
      <c r="W518" s="133">
        <f>J518-T518</f>
        <v>0</v>
      </c>
      <c r="X518" s="71">
        <f>K518-U518</f>
        <v>0</v>
      </c>
      <c r="Y518" s="71">
        <f t="shared" ref="Y518" si="271">L518-V518</f>
        <v>0</v>
      </c>
      <c r="Z518" s="119">
        <f>H518-R518</f>
        <v>0</v>
      </c>
    </row>
    <row r="519" spans="1:26" x14ac:dyDescent="0.3">
      <c r="A519" s="1"/>
      <c r="B519" s="10"/>
      <c r="C519" s="11"/>
      <c r="D519" s="11"/>
      <c r="E519" s="11"/>
      <c r="F519" s="11"/>
      <c r="G519" s="11"/>
      <c r="H519" s="12"/>
      <c r="I519" s="11"/>
      <c r="J519" s="13"/>
      <c r="K519" s="12"/>
      <c r="L519" s="12"/>
      <c r="M519" s="11"/>
      <c r="N519" s="11"/>
      <c r="O519" s="11"/>
      <c r="P519" s="11"/>
      <c r="Q519" s="11"/>
      <c r="R519" s="12"/>
      <c r="S519" s="11"/>
      <c r="T519" s="13"/>
      <c r="U519" s="12"/>
      <c r="V519" s="12"/>
      <c r="W519" s="149"/>
      <c r="X519" s="150"/>
      <c r="Y519" s="150"/>
      <c r="Z519" s="151"/>
    </row>
    <row r="520" spans="1:26" x14ac:dyDescent="0.3">
      <c r="A520" s="106" t="s">
        <v>275</v>
      </c>
      <c r="B520" s="93" t="s">
        <v>908</v>
      </c>
      <c r="C520" s="87" t="s">
        <v>909</v>
      </c>
      <c r="D520" s="88">
        <v>46205</v>
      </c>
      <c r="E520" s="89" t="s">
        <v>910</v>
      </c>
      <c r="F520" s="89">
        <v>96032100</v>
      </c>
      <c r="G520" s="89" t="s">
        <v>4</v>
      </c>
      <c r="H520" s="90">
        <v>1000</v>
      </c>
      <c r="I520" s="89" t="s">
        <v>5</v>
      </c>
      <c r="J520" s="91">
        <v>1000</v>
      </c>
      <c r="K520" s="90">
        <v>98800</v>
      </c>
      <c r="L520" s="90">
        <v>0</v>
      </c>
      <c r="M520" s="89" t="s">
        <v>330</v>
      </c>
      <c r="N520" s="89" t="s">
        <v>331</v>
      </c>
      <c r="O520" s="88">
        <v>46225</v>
      </c>
      <c r="P520" s="89" t="s">
        <v>911</v>
      </c>
      <c r="Q520" s="89"/>
      <c r="R520" s="90">
        <v>1000</v>
      </c>
      <c r="S520" s="89" t="s">
        <v>5</v>
      </c>
      <c r="T520" s="91">
        <v>1000</v>
      </c>
      <c r="U520" s="90">
        <v>98800</v>
      </c>
      <c r="V520" s="90">
        <v>0</v>
      </c>
      <c r="W520" s="133">
        <f t="shared" ref="W520:W521" si="272">J520-T520</f>
        <v>0</v>
      </c>
      <c r="X520" s="71">
        <f t="shared" ref="X520:X521" si="273">K520-U520</f>
        <v>0</v>
      </c>
      <c r="Y520" s="71">
        <f t="shared" ref="Y520:Y521" si="274">L520-V520</f>
        <v>0</v>
      </c>
      <c r="Z520" s="119">
        <f t="shared" ref="Z520:Z521" si="275">H520-R520</f>
        <v>0</v>
      </c>
    </row>
    <row r="521" spans="1:26" x14ac:dyDescent="0.3">
      <c r="A521" s="106"/>
      <c r="B521" s="93" t="s">
        <v>912</v>
      </c>
      <c r="C521" s="89"/>
      <c r="D521" s="89"/>
      <c r="E521" s="89"/>
      <c r="F521" s="89">
        <v>33061000</v>
      </c>
      <c r="G521" s="89" t="s">
        <v>4</v>
      </c>
      <c r="H521" s="90">
        <v>20</v>
      </c>
      <c r="I521" s="89" t="s">
        <v>13</v>
      </c>
      <c r="J521" s="91">
        <v>1000</v>
      </c>
      <c r="K521" s="90">
        <v>39000</v>
      </c>
      <c r="L521" s="90">
        <v>0</v>
      </c>
      <c r="M521" s="89" t="s">
        <v>330</v>
      </c>
      <c r="N521" s="89" t="s">
        <v>331</v>
      </c>
      <c r="O521" s="88">
        <v>46225</v>
      </c>
      <c r="P521" s="89" t="s">
        <v>913</v>
      </c>
      <c r="Q521" s="89"/>
      <c r="R521" s="90">
        <v>20</v>
      </c>
      <c r="S521" s="89" t="s">
        <v>13</v>
      </c>
      <c r="T521" s="91">
        <v>1000</v>
      </c>
      <c r="U521" s="90">
        <v>39000</v>
      </c>
      <c r="V521" s="90">
        <v>0</v>
      </c>
      <c r="W521" s="133">
        <f t="shared" si="272"/>
        <v>0</v>
      </c>
      <c r="X521" s="71">
        <f t="shared" si="273"/>
        <v>0</v>
      </c>
      <c r="Y521" s="71">
        <f t="shared" si="274"/>
        <v>0</v>
      </c>
      <c r="Z521" s="119">
        <f t="shared" si="275"/>
        <v>0</v>
      </c>
    </row>
    <row r="522" spans="1:26" x14ac:dyDescent="0.3">
      <c r="A522" s="1"/>
      <c r="B522" s="10"/>
      <c r="C522" s="11"/>
      <c r="D522" s="11"/>
      <c r="E522" s="11"/>
      <c r="F522" s="11"/>
      <c r="G522" s="11"/>
      <c r="H522" s="12"/>
      <c r="I522" s="11"/>
      <c r="J522" s="13"/>
      <c r="K522" s="12"/>
      <c r="L522" s="12"/>
      <c r="M522" s="11"/>
      <c r="N522" s="11"/>
      <c r="O522" s="11"/>
      <c r="P522" s="11"/>
      <c r="Q522" s="11"/>
      <c r="R522" s="12"/>
      <c r="S522" s="11"/>
      <c r="T522" s="13"/>
      <c r="U522" s="12"/>
      <c r="V522" s="12"/>
      <c r="W522" s="149"/>
      <c r="X522" s="150"/>
      <c r="Y522" s="150"/>
      <c r="Z522" s="151"/>
    </row>
    <row r="523" spans="1:26" x14ac:dyDescent="0.3">
      <c r="A523" s="106" t="s">
        <v>0</v>
      </c>
      <c r="B523" s="93" t="s">
        <v>1</v>
      </c>
      <c r="C523" s="87" t="s">
        <v>2</v>
      </c>
      <c r="D523" s="88">
        <v>46206</v>
      </c>
      <c r="E523" s="89" t="s">
        <v>3</v>
      </c>
      <c r="F523" s="89">
        <v>90183100</v>
      </c>
      <c r="G523" s="89" t="s">
        <v>4</v>
      </c>
      <c r="H523" s="90">
        <v>36</v>
      </c>
      <c r="I523" s="89" t="s">
        <v>5</v>
      </c>
      <c r="J523" s="91">
        <v>36</v>
      </c>
      <c r="K523" s="90">
        <v>27969.84</v>
      </c>
      <c r="L523" s="90">
        <v>0</v>
      </c>
      <c r="M523" s="89" t="s">
        <v>404</v>
      </c>
      <c r="N523" s="89" t="s">
        <v>405</v>
      </c>
      <c r="O523" s="88">
        <v>46246</v>
      </c>
      <c r="P523" s="89" t="s">
        <v>914</v>
      </c>
      <c r="Q523" s="89"/>
      <c r="R523" s="90">
        <v>36</v>
      </c>
      <c r="S523" s="89" t="s">
        <v>5</v>
      </c>
      <c r="T523" s="91">
        <v>36</v>
      </c>
      <c r="U523" s="90">
        <v>27969.84</v>
      </c>
      <c r="V523" s="90">
        <f>(T523*L521)/J521</f>
        <v>0</v>
      </c>
      <c r="W523" s="133">
        <f t="shared" ref="W523:W526" si="276">J523-T523</f>
        <v>0</v>
      </c>
      <c r="X523" s="71">
        <f t="shared" ref="X523:X526" si="277">K523-U523</f>
        <v>0</v>
      </c>
      <c r="Y523" s="71">
        <f t="shared" ref="Y523:Y526" si="278">L523-V523</f>
        <v>0</v>
      </c>
      <c r="Z523" s="119">
        <f t="shared" ref="Z523:Z526" si="279">H523-R523</f>
        <v>0</v>
      </c>
    </row>
    <row r="524" spans="1:26" x14ac:dyDescent="0.3">
      <c r="A524" s="1"/>
      <c r="B524" s="10" t="s">
        <v>6</v>
      </c>
      <c r="C524" s="11"/>
      <c r="D524" s="11"/>
      <c r="E524" s="11"/>
      <c r="F524" s="11">
        <v>90183100</v>
      </c>
      <c r="G524" s="11" t="s">
        <v>4</v>
      </c>
      <c r="H524" s="12">
        <v>60</v>
      </c>
      <c r="I524" s="11" t="s">
        <v>5</v>
      </c>
      <c r="J524" s="13">
        <v>60</v>
      </c>
      <c r="K524" s="12">
        <v>62155.199999999997</v>
      </c>
      <c r="L524" s="12">
        <v>0</v>
      </c>
      <c r="M524" s="11" t="s">
        <v>470</v>
      </c>
      <c r="N524" s="11" t="s">
        <v>471</v>
      </c>
      <c r="O524" s="16">
        <v>46237</v>
      </c>
      <c r="P524" s="11" t="s">
        <v>767</v>
      </c>
      <c r="Q524" s="11"/>
      <c r="R524" s="12">
        <v>40</v>
      </c>
      <c r="S524" s="11" t="s">
        <v>5</v>
      </c>
      <c r="T524" s="13">
        <v>20</v>
      </c>
      <c r="U524" s="12">
        <f>(K524*T524)/J524</f>
        <v>20718.400000000001</v>
      </c>
      <c r="V524" s="12">
        <f>(T524*L524)/J524</f>
        <v>0</v>
      </c>
      <c r="W524" s="133">
        <f>J524-T524-T525</f>
        <v>30</v>
      </c>
      <c r="X524" s="71">
        <f>K524-U524-U525</f>
        <v>31077.599999999995</v>
      </c>
      <c r="Y524" s="71">
        <f>L524-V524-V525</f>
        <v>0</v>
      </c>
      <c r="Z524" s="119">
        <f>H524-R524-R525</f>
        <v>10</v>
      </c>
    </row>
    <row r="525" spans="1:26" x14ac:dyDescent="0.3">
      <c r="A525" s="1"/>
      <c r="B525" s="10"/>
      <c r="C525" s="11"/>
      <c r="D525" s="11"/>
      <c r="E525" s="11"/>
      <c r="F525" s="11"/>
      <c r="G525" s="11"/>
      <c r="H525" s="12"/>
      <c r="I525" s="11"/>
      <c r="J525" s="13"/>
      <c r="K525" s="12"/>
      <c r="L525" s="12"/>
      <c r="M525" s="11" t="s">
        <v>470</v>
      </c>
      <c r="N525" s="11" t="s">
        <v>471</v>
      </c>
      <c r="O525" s="16">
        <v>46237</v>
      </c>
      <c r="P525" s="11" t="s">
        <v>768</v>
      </c>
      <c r="Q525" s="11"/>
      <c r="R525" s="12">
        <v>10</v>
      </c>
      <c r="S525" s="11" t="s">
        <v>5</v>
      </c>
      <c r="T525" s="13">
        <v>10</v>
      </c>
      <c r="U525" s="12">
        <f>(K524*T525)/J524</f>
        <v>10359.200000000001</v>
      </c>
      <c r="V525" s="12">
        <f>(T525*L524)/J524</f>
        <v>0</v>
      </c>
      <c r="W525" s="133"/>
      <c r="X525" s="71"/>
      <c r="Y525" s="71"/>
      <c r="Z525" s="119"/>
    </row>
    <row r="526" spans="1:26" x14ac:dyDescent="0.3">
      <c r="A526" s="106"/>
      <c r="B526" s="93" t="s">
        <v>7</v>
      </c>
      <c r="C526" s="89"/>
      <c r="D526" s="89"/>
      <c r="E526" s="89"/>
      <c r="F526" s="89">
        <v>90183100</v>
      </c>
      <c r="G526" s="89" t="s">
        <v>4</v>
      </c>
      <c r="H526" s="90">
        <v>41</v>
      </c>
      <c r="I526" s="89" t="s">
        <v>5</v>
      </c>
      <c r="J526" s="91">
        <v>41</v>
      </c>
      <c r="K526" s="90">
        <v>26545.45</v>
      </c>
      <c r="L526" s="90">
        <v>0</v>
      </c>
      <c r="M526" s="89" t="s">
        <v>404</v>
      </c>
      <c r="N526" s="89" t="s">
        <v>405</v>
      </c>
      <c r="O526" s="88">
        <v>46246</v>
      </c>
      <c r="P526" s="89" t="s">
        <v>914</v>
      </c>
      <c r="Q526" s="89"/>
      <c r="R526" s="90">
        <v>41</v>
      </c>
      <c r="S526" s="89" t="s">
        <v>5</v>
      </c>
      <c r="T526" s="91">
        <v>41</v>
      </c>
      <c r="U526" s="90">
        <f>(K526*T526)/J526</f>
        <v>26545.449999999997</v>
      </c>
      <c r="V526" s="90">
        <f>(T526*L526)/J526</f>
        <v>0</v>
      </c>
      <c r="W526" s="133">
        <f t="shared" si="276"/>
        <v>0</v>
      </c>
      <c r="X526" s="71">
        <f t="shared" si="277"/>
        <v>0</v>
      </c>
      <c r="Y526" s="71">
        <f t="shared" si="278"/>
        <v>0</v>
      </c>
      <c r="Z526" s="119">
        <f t="shared" si="279"/>
        <v>0</v>
      </c>
    </row>
    <row r="527" spans="1:26" s="184" customFormat="1" x14ac:dyDescent="0.3">
      <c r="A527" s="139"/>
      <c r="B527" s="26"/>
      <c r="C527" s="22"/>
      <c r="D527" s="22"/>
      <c r="E527" s="22"/>
      <c r="F527" s="22"/>
      <c r="G527" s="22"/>
      <c r="H527" s="23"/>
      <c r="I527" s="22"/>
      <c r="J527" s="24"/>
      <c r="K527" s="23"/>
      <c r="L527" s="23"/>
      <c r="M527" s="22"/>
      <c r="N527" s="22"/>
      <c r="O527" s="22"/>
      <c r="P527" s="22"/>
      <c r="Q527" s="22"/>
      <c r="R527" s="23"/>
      <c r="S527" s="22"/>
      <c r="T527" s="24"/>
      <c r="U527" s="23"/>
      <c r="V527" s="23"/>
      <c r="W527" s="149"/>
      <c r="X527" s="150"/>
      <c r="Y527" s="150"/>
      <c r="Z527" s="151"/>
    </row>
    <row r="528" spans="1:26" x14ac:dyDescent="0.3">
      <c r="A528" s="73" t="s">
        <v>8</v>
      </c>
      <c r="B528" s="73" t="s">
        <v>9</v>
      </c>
      <c r="C528" s="11" t="s">
        <v>10</v>
      </c>
      <c r="D528" s="16">
        <v>46213</v>
      </c>
      <c r="E528" s="11" t="s">
        <v>11</v>
      </c>
      <c r="F528" s="11">
        <v>21069000</v>
      </c>
      <c r="G528" s="11" t="s">
        <v>12</v>
      </c>
      <c r="H528" s="12">
        <v>22218</v>
      </c>
      <c r="I528" s="11" t="s">
        <v>13</v>
      </c>
      <c r="J528" s="144">
        <v>1610</v>
      </c>
      <c r="K528" s="12">
        <v>8154004.6200000001</v>
      </c>
      <c r="L528" s="12">
        <v>2207008</v>
      </c>
      <c r="M528" s="11" t="s">
        <v>404</v>
      </c>
      <c r="N528" s="11" t="s">
        <v>405</v>
      </c>
      <c r="O528" s="16">
        <v>46247</v>
      </c>
      <c r="P528" s="11" t="s">
        <v>915</v>
      </c>
      <c r="Q528" s="11"/>
      <c r="R528" s="153">
        <v>7728</v>
      </c>
      <c r="S528" s="12" t="s">
        <v>13</v>
      </c>
      <c r="T528" s="13">
        <v>560</v>
      </c>
      <c r="U528" s="121">
        <f>(K528*T528)/J528</f>
        <v>2836175.52</v>
      </c>
      <c r="V528" s="121">
        <f>(T528*L528)/J528</f>
        <v>767654.95652173914</v>
      </c>
      <c r="W528" s="133">
        <f>J528-T528-T529</f>
        <v>410</v>
      </c>
      <c r="X528" s="71">
        <f>K528-U528-U529</f>
        <v>2076485.6485714279</v>
      </c>
      <c r="Y528" s="71">
        <f>L528-V528-V529</f>
        <v>562033.09316770174</v>
      </c>
      <c r="Z528" s="119">
        <f>H528-R528-R529</f>
        <v>5658</v>
      </c>
    </row>
    <row r="529" spans="1:26" x14ac:dyDescent="0.3">
      <c r="A529" s="73"/>
      <c r="B529" s="73"/>
      <c r="C529" s="11"/>
      <c r="D529" s="16"/>
      <c r="E529" s="11"/>
      <c r="F529" s="11"/>
      <c r="G529" s="11"/>
      <c r="H529" s="12"/>
      <c r="I529" s="11"/>
      <c r="J529" s="144"/>
      <c r="K529" s="12"/>
      <c r="L529" s="12"/>
      <c r="M529" s="11" t="s">
        <v>404</v>
      </c>
      <c r="N529" s="11" t="s">
        <v>405</v>
      </c>
      <c r="O529" s="16">
        <v>46247</v>
      </c>
      <c r="P529" s="11" t="s">
        <v>916</v>
      </c>
      <c r="Q529" s="11"/>
      <c r="R529" s="153">
        <v>8832</v>
      </c>
      <c r="S529" s="12" t="s">
        <v>13</v>
      </c>
      <c r="T529" s="13">
        <v>640</v>
      </c>
      <c r="U529" s="121">
        <f>(K528*T529)/J528</f>
        <v>3241343.4514285717</v>
      </c>
      <c r="V529" s="121">
        <f>(T529*L528)/J528</f>
        <v>877319.95031055901</v>
      </c>
      <c r="W529" s="133"/>
      <c r="X529" s="71"/>
      <c r="Y529" s="71"/>
      <c r="Z529" s="119"/>
    </row>
    <row r="530" spans="1:26" s="184" customFormat="1" x14ac:dyDescent="0.3">
      <c r="A530" s="187"/>
      <c r="B530" s="187"/>
      <c r="C530" s="22"/>
      <c r="D530" s="21"/>
      <c r="E530" s="22"/>
      <c r="F530" s="22"/>
      <c r="G530" s="22"/>
      <c r="H530" s="23"/>
      <c r="I530" s="22"/>
      <c r="J530" s="169"/>
      <c r="K530" s="23"/>
      <c r="L530" s="22"/>
      <c r="M530" s="186"/>
      <c r="N530" s="22"/>
      <c r="O530" s="22"/>
      <c r="P530" s="22"/>
      <c r="Q530" s="22"/>
      <c r="R530" s="185"/>
      <c r="S530" s="23"/>
      <c r="T530" s="22"/>
      <c r="U530" s="24"/>
      <c r="V530" s="23"/>
      <c r="W530" s="149"/>
      <c r="X530" s="150"/>
      <c r="Y530" s="151"/>
      <c r="Z530" s="130"/>
    </row>
    <row r="531" spans="1:26" x14ac:dyDescent="0.3">
      <c r="A531" s="1" t="s">
        <v>8</v>
      </c>
      <c r="B531" s="73" t="s">
        <v>14</v>
      </c>
      <c r="C531" s="11" t="s">
        <v>15</v>
      </c>
      <c r="D531" s="16">
        <v>46214</v>
      </c>
      <c r="E531" s="249" t="s">
        <v>16</v>
      </c>
      <c r="F531" s="11">
        <v>21069000</v>
      </c>
      <c r="G531" s="11" t="s">
        <v>12</v>
      </c>
      <c r="H531" s="12">
        <v>7948.8</v>
      </c>
      <c r="I531" s="11" t="s">
        <v>13</v>
      </c>
      <c r="J531" s="144">
        <v>828</v>
      </c>
      <c r="K531" s="12">
        <v>6062777.5199999996</v>
      </c>
      <c r="L531" s="153">
        <v>1641948</v>
      </c>
      <c r="M531" s="11" t="s">
        <v>404</v>
      </c>
      <c r="N531" s="11" t="s">
        <v>405</v>
      </c>
      <c r="O531" s="16">
        <v>46247</v>
      </c>
      <c r="P531" s="11" t="s">
        <v>917</v>
      </c>
      <c r="Q531" s="11"/>
      <c r="R531" s="153">
        <v>335</v>
      </c>
      <c r="S531" s="12" t="s">
        <v>13</v>
      </c>
      <c r="T531" s="13">
        <v>35</v>
      </c>
      <c r="U531" s="121">
        <f>(K531*T531)/J531</f>
        <v>256276.82753623187</v>
      </c>
      <c r="V531" s="121">
        <f>(T531*L531)/J531</f>
        <v>69406.014492753617</v>
      </c>
      <c r="W531" s="133">
        <f>J531-T531-T532</f>
        <v>682</v>
      </c>
      <c r="X531" s="71">
        <f>K531-U531-U532</f>
        <v>4993737.0394202899</v>
      </c>
      <c r="Y531" s="71">
        <f t="shared" ref="Y531:Y535" si="280">L531-V531</f>
        <v>1572541.9855072463</v>
      </c>
      <c r="Z531" s="119">
        <f>H531-R531-R532</f>
        <v>6548.8</v>
      </c>
    </row>
    <row r="532" spans="1:26" x14ac:dyDescent="0.3">
      <c r="A532" s="1"/>
      <c r="B532" s="73"/>
      <c r="C532" s="11"/>
      <c r="D532" s="16"/>
      <c r="E532" s="249"/>
      <c r="F532" s="11"/>
      <c r="G532" s="11"/>
      <c r="H532" s="12"/>
      <c r="I532" s="11"/>
      <c r="J532" s="144"/>
      <c r="K532" s="12"/>
      <c r="L532" s="153"/>
      <c r="M532" s="11" t="s">
        <v>918</v>
      </c>
      <c r="N532" s="11" t="s">
        <v>919</v>
      </c>
      <c r="O532" s="16">
        <v>46261</v>
      </c>
      <c r="P532" s="11" t="s">
        <v>920</v>
      </c>
      <c r="Q532" s="11"/>
      <c r="R532" s="153">
        <v>1065</v>
      </c>
      <c r="S532" s="12" t="s">
        <v>13</v>
      </c>
      <c r="T532" s="13">
        <v>111</v>
      </c>
      <c r="U532" s="121">
        <f>(K531*T532)/J531</f>
        <v>812763.65304347815</v>
      </c>
      <c r="V532" s="121">
        <f>(T532*L531)/J531</f>
        <v>220116.21739130435</v>
      </c>
      <c r="W532" s="133"/>
      <c r="X532" s="71"/>
      <c r="Y532" s="71"/>
      <c r="Z532" s="119"/>
    </row>
    <row r="533" spans="1:26" x14ac:dyDescent="0.3">
      <c r="A533" s="1"/>
      <c r="B533" s="73" t="s">
        <v>17</v>
      </c>
      <c r="C533" s="11"/>
      <c r="D533" s="11"/>
      <c r="E533" s="249"/>
      <c r="F533" s="11">
        <v>21069000</v>
      </c>
      <c r="G533" s="11" t="s">
        <v>12</v>
      </c>
      <c r="H533" s="12">
        <v>6748.8</v>
      </c>
      <c r="I533" s="11" t="s">
        <v>13</v>
      </c>
      <c r="J533" s="144">
        <v>703</v>
      </c>
      <c r="K533" s="12">
        <v>626639.51</v>
      </c>
      <c r="L533" s="153">
        <v>1691912</v>
      </c>
      <c r="M533" s="11" t="s">
        <v>404</v>
      </c>
      <c r="N533" s="11" t="s">
        <v>405</v>
      </c>
      <c r="O533" s="16">
        <v>46247</v>
      </c>
      <c r="P533" s="11" t="s">
        <v>917</v>
      </c>
      <c r="Q533" s="11"/>
      <c r="R533" s="153">
        <v>124</v>
      </c>
      <c r="S533" s="12" t="s">
        <v>13</v>
      </c>
      <c r="T533" s="13">
        <v>13</v>
      </c>
      <c r="U533" s="121">
        <f>(K533*T533)/J533</f>
        <v>11587.928349928876</v>
      </c>
      <c r="V533" s="121">
        <f>(T533*L533)/J533</f>
        <v>31287.135135135137</v>
      </c>
      <c r="W533" s="133">
        <f>J533-T533-T534</f>
        <v>651</v>
      </c>
      <c r="X533" s="71">
        <f>K533-U533-U534</f>
        <v>580287.7966002844</v>
      </c>
      <c r="Y533" s="71">
        <f>L533-V533-V534</f>
        <v>1566763.4594594594</v>
      </c>
      <c r="Z533" s="119">
        <f>H533-R533-R534</f>
        <v>6250.8</v>
      </c>
    </row>
    <row r="534" spans="1:26" x14ac:dyDescent="0.3">
      <c r="A534" s="1"/>
      <c r="B534" s="73"/>
      <c r="C534" s="11"/>
      <c r="D534" s="11"/>
      <c r="E534" s="249"/>
      <c r="F534" s="11"/>
      <c r="G534" s="11"/>
      <c r="H534" s="12"/>
      <c r="I534" s="11"/>
      <c r="J534" s="144"/>
      <c r="K534" s="12"/>
      <c r="L534" s="153"/>
      <c r="M534" s="11" t="s">
        <v>918</v>
      </c>
      <c r="N534" s="11" t="s">
        <v>919</v>
      </c>
      <c r="O534" s="16">
        <v>46261</v>
      </c>
      <c r="P534" s="11" t="s">
        <v>920</v>
      </c>
      <c r="Q534" s="11"/>
      <c r="R534" s="153">
        <v>374</v>
      </c>
      <c r="S534" s="12" t="s">
        <v>13</v>
      </c>
      <c r="T534" s="13">
        <v>39</v>
      </c>
      <c r="U534" s="121">
        <f>(K533*T534)/J533</f>
        <v>34763.785049786631</v>
      </c>
      <c r="V534" s="121">
        <f>(T534*L533)/J533</f>
        <v>93861.4054054054</v>
      </c>
      <c r="W534" s="133"/>
      <c r="X534" s="71"/>
      <c r="Y534" s="71"/>
      <c r="Z534" s="119"/>
    </row>
    <row r="535" spans="1:26" x14ac:dyDescent="0.3">
      <c r="A535" s="1"/>
      <c r="B535" s="73" t="s">
        <v>18</v>
      </c>
      <c r="C535" s="11"/>
      <c r="D535" s="11"/>
      <c r="E535" s="249"/>
      <c r="F535" s="11">
        <v>21069000</v>
      </c>
      <c r="G535" s="11" t="s">
        <v>12</v>
      </c>
      <c r="H535" s="12">
        <v>1050</v>
      </c>
      <c r="I535" s="11" t="s">
        <v>13</v>
      </c>
      <c r="J535" s="144">
        <v>70</v>
      </c>
      <c r="K535" s="12">
        <v>338407.97</v>
      </c>
      <c r="L535" s="153">
        <v>91371</v>
      </c>
      <c r="M535" s="148"/>
      <c r="N535" s="11"/>
      <c r="O535" s="11"/>
      <c r="P535" s="11"/>
      <c r="Q535" s="11"/>
      <c r="R535" s="153"/>
      <c r="S535" s="12"/>
      <c r="T535" s="11"/>
      <c r="U535" s="13"/>
      <c r="V535" s="12"/>
      <c r="W535" s="133">
        <f t="shared" ref="W535" si="281">J535-T535</f>
        <v>70</v>
      </c>
      <c r="X535" s="71">
        <f t="shared" ref="X535" si="282">K535-U535</f>
        <v>338407.97</v>
      </c>
      <c r="Y535" s="71">
        <f t="shared" si="280"/>
        <v>91371</v>
      </c>
      <c r="Z535" s="119">
        <f t="shared" ref="Z535" si="283">H535-R535</f>
        <v>1050</v>
      </c>
    </row>
    <row r="536" spans="1:26" s="184" customFormat="1" x14ac:dyDescent="0.3">
      <c r="A536" s="139"/>
      <c r="B536" s="26"/>
      <c r="C536" s="22"/>
      <c r="D536" s="22"/>
      <c r="E536" s="250"/>
      <c r="F536" s="22"/>
      <c r="G536" s="22"/>
      <c r="H536" s="23"/>
      <c r="I536" s="22"/>
      <c r="J536" s="169"/>
      <c r="K536" s="23"/>
      <c r="L536" s="185"/>
      <c r="M536" s="186"/>
      <c r="N536" s="22"/>
      <c r="O536" s="22"/>
      <c r="P536" s="22"/>
      <c r="Q536" s="22"/>
      <c r="R536" s="185"/>
      <c r="S536" s="23"/>
      <c r="T536" s="22"/>
      <c r="U536" s="24"/>
      <c r="V536" s="23"/>
      <c r="W536" s="149"/>
      <c r="X536" s="150"/>
      <c r="Y536" s="183"/>
      <c r="Z536" s="130"/>
    </row>
    <row r="537" spans="1:26" x14ac:dyDescent="0.3">
      <c r="A537" s="73" t="s">
        <v>8</v>
      </c>
      <c r="B537" s="73" t="s">
        <v>19</v>
      </c>
      <c r="C537" s="11" t="s">
        <v>20</v>
      </c>
      <c r="D537" s="16">
        <v>46226</v>
      </c>
      <c r="E537" s="249" t="s">
        <v>21</v>
      </c>
      <c r="F537" s="11">
        <v>21069000</v>
      </c>
      <c r="G537" s="11" t="s">
        <v>12</v>
      </c>
      <c r="H537" s="12">
        <v>20741.400000000001</v>
      </c>
      <c r="I537" s="11" t="s">
        <v>13</v>
      </c>
      <c r="J537" s="144">
        <v>1503</v>
      </c>
      <c r="K537" s="12">
        <v>6741686.6799999997</v>
      </c>
      <c r="L537" s="153">
        <v>1825687</v>
      </c>
      <c r="M537" s="11" t="s">
        <v>918</v>
      </c>
      <c r="N537" s="11" t="s">
        <v>921</v>
      </c>
      <c r="O537" s="16">
        <v>46260</v>
      </c>
      <c r="P537" s="11" t="s">
        <v>922</v>
      </c>
      <c r="Q537" s="11"/>
      <c r="R537" s="153">
        <v>3381</v>
      </c>
      <c r="S537" s="12" t="s">
        <v>13</v>
      </c>
      <c r="T537" s="11">
        <v>245</v>
      </c>
      <c r="U537" s="121">
        <f>(K537*T537)/J537</f>
        <v>1098944.2691949434</v>
      </c>
      <c r="V537" s="121">
        <f>(T537*L537)/J537</f>
        <v>297600.34264803724</v>
      </c>
      <c r="W537" s="133">
        <f t="shared" ref="W537:W540" si="284">J537-T537</f>
        <v>1258</v>
      </c>
      <c r="X537" s="71">
        <f t="shared" ref="X537:X540" si="285">K537-U537</f>
        <v>5642742.4108050559</v>
      </c>
      <c r="Y537" s="71">
        <f t="shared" ref="Y537:Y540" si="286">L537-V537</f>
        <v>1528086.6573519628</v>
      </c>
      <c r="Z537" s="119">
        <f t="shared" ref="Z537:Z540" si="287">H537-R537</f>
        <v>17360.400000000001</v>
      </c>
    </row>
    <row r="538" spans="1:26" x14ac:dyDescent="0.3">
      <c r="A538" s="1"/>
      <c r="B538" s="73" t="s">
        <v>23</v>
      </c>
      <c r="C538" s="11"/>
      <c r="D538" s="11"/>
      <c r="E538" s="249"/>
      <c r="F538" s="11">
        <v>21069000</v>
      </c>
      <c r="G538" s="11" t="s">
        <v>12</v>
      </c>
      <c r="H538" s="12">
        <v>1500</v>
      </c>
      <c r="I538" s="11" t="s">
        <v>13</v>
      </c>
      <c r="J538" s="144">
        <v>100</v>
      </c>
      <c r="K538" s="12">
        <v>424978.27</v>
      </c>
      <c r="L538" s="153">
        <v>114745</v>
      </c>
      <c r="M538" s="148"/>
      <c r="N538" s="11"/>
      <c r="O538" s="11"/>
      <c r="P538" s="11"/>
      <c r="Q538" s="11"/>
      <c r="R538" s="153"/>
      <c r="S538" s="12"/>
      <c r="T538" s="11"/>
      <c r="U538" s="13"/>
      <c r="V538" s="12"/>
      <c r="W538" s="133">
        <f t="shared" si="284"/>
        <v>100</v>
      </c>
      <c r="X538" s="71">
        <f t="shared" si="285"/>
        <v>424978.27</v>
      </c>
      <c r="Y538" s="71">
        <f t="shared" si="286"/>
        <v>114745</v>
      </c>
      <c r="Z538" s="119">
        <f t="shared" si="287"/>
        <v>1500</v>
      </c>
    </row>
    <row r="539" spans="1:26" x14ac:dyDescent="0.3">
      <c r="A539" s="1"/>
      <c r="B539" s="10"/>
      <c r="C539" s="11"/>
      <c r="D539" s="11"/>
      <c r="E539" s="249"/>
      <c r="F539" s="11"/>
      <c r="G539" s="11"/>
      <c r="H539" s="12"/>
      <c r="I539" s="11"/>
      <c r="J539" s="144"/>
      <c r="K539" s="12"/>
      <c r="L539" s="153"/>
      <c r="M539" s="148"/>
      <c r="N539" s="11"/>
      <c r="O539" s="11"/>
      <c r="P539" s="11"/>
      <c r="Q539" s="11"/>
      <c r="R539" s="153"/>
      <c r="S539" s="12"/>
      <c r="T539" s="11"/>
      <c r="U539" s="13"/>
      <c r="V539" s="12"/>
      <c r="W539" s="149"/>
      <c r="X539" s="150"/>
      <c r="Y539" s="183"/>
      <c r="Z539" s="130"/>
    </row>
    <row r="540" spans="1:26" x14ac:dyDescent="0.3">
      <c r="A540" s="73" t="s">
        <v>24</v>
      </c>
      <c r="B540" s="73" t="s">
        <v>25</v>
      </c>
      <c r="C540" s="11" t="s">
        <v>26</v>
      </c>
      <c r="D540" s="16">
        <v>46237</v>
      </c>
      <c r="E540" s="249" t="s">
        <v>27</v>
      </c>
      <c r="F540" s="152">
        <v>38221100</v>
      </c>
      <c r="G540" s="11" t="s">
        <v>12</v>
      </c>
      <c r="H540" s="12">
        <v>1638</v>
      </c>
      <c r="I540" s="11" t="s">
        <v>13</v>
      </c>
      <c r="J540" s="144">
        <v>6000</v>
      </c>
      <c r="K540" s="12">
        <v>6237671.1799999997</v>
      </c>
      <c r="L540" s="12">
        <v>125004</v>
      </c>
      <c r="M540" s="11"/>
      <c r="N540" s="11"/>
      <c r="O540" s="11"/>
      <c r="P540" s="11"/>
      <c r="Q540" s="11"/>
      <c r="R540" s="12"/>
      <c r="S540" s="11"/>
      <c r="T540" s="13"/>
      <c r="U540" s="12"/>
      <c r="V540" s="12"/>
      <c r="W540" s="133">
        <f t="shared" si="284"/>
        <v>6000</v>
      </c>
      <c r="X540" s="71">
        <f t="shared" si="285"/>
        <v>6237671.1799999997</v>
      </c>
      <c r="Y540" s="71">
        <f t="shared" si="286"/>
        <v>125004</v>
      </c>
      <c r="Z540" s="119">
        <f t="shared" si="287"/>
        <v>1638</v>
      </c>
    </row>
    <row r="541" spans="1:26" s="184" customFormat="1" x14ac:dyDescent="0.3">
      <c r="A541" s="139"/>
      <c r="B541" s="26"/>
      <c r="C541" s="22"/>
      <c r="D541" s="22"/>
      <c r="E541" s="250"/>
      <c r="F541" s="22"/>
      <c r="G541" s="22"/>
      <c r="H541" s="23"/>
      <c r="I541" s="22"/>
      <c r="J541" s="169"/>
      <c r="K541" s="23"/>
      <c r="L541" s="23"/>
      <c r="M541" s="22"/>
      <c r="N541" s="22"/>
      <c r="O541" s="22"/>
      <c r="P541" s="22"/>
      <c r="Q541" s="22"/>
      <c r="R541" s="23"/>
      <c r="S541" s="22"/>
      <c r="T541" s="24"/>
      <c r="U541" s="23"/>
      <c r="V541" s="23"/>
      <c r="W541" s="149"/>
      <c r="X541" s="150"/>
      <c r="Y541" s="150"/>
      <c r="Z541" s="183"/>
    </row>
    <row r="542" spans="1:26" ht="18.75" customHeight="1" x14ac:dyDescent="0.3">
      <c r="A542" s="188" t="s">
        <v>923</v>
      </c>
      <c r="B542" s="189" t="s">
        <v>31</v>
      </c>
      <c r="C542" s="11" t="s">
        <v>32</v>
      </c>
      <c r="D542" s="16">
        <v>46238</v>
      </c>
      <c r="E542" s="249" t="s">
        <v>33</v>
      </c>
      <c r="F542" s="146">
        <v>30049000</v>
      </c>
      <c r="G542" s="11" t="s">
        <v>34</v>
      </c>
      <c r="H542" s="190">
        <v>1166</v>
      </c>
      <c r="I542" s="11" t="s">
        <v>13</v>
      </c>
      <c r="J542" s="144">
        <v>24000</v>
      </c>
      <c r="K542" s="191">
        <v>2025917.53</v>
      </c>
      <c r="L542" s="12">
        <v>40769</v>
      </c>
      <c r="M542" s="11"/>
      <c r="N542" s="11"/>
      <c r="O542" s="11"/>
      <c r="P542" s="11"/>
      <c r="Q542" s="11"/>
      <c r="R542" s="12"/>
      <c r="S542" s="11"/>
      <c r="T542" s="13"/>
      <c r="U542" s="12"/>
      <c r="V542" s="12"/>
      <c r="W542" s="133">
        <f>J542-T542</f>
        <v>24000</v>
      </c>
      <c r="X542" s="71">
        <f>K542-U542</f>
        <v>2025917.53</v>
      </c>
      <c r="Y542" s="71">
        <f t="shared" ref="Y542" si="288">L542-V542</f>
        <v>40769</v>
      </c>
      <c r="Z542" s="119">
        <f>H542-R542</f>
        <v>1166</v>
      </c>
    </row>
    <row r="543" spans="1:26" s="184" customFormat="1" x14ac:dyDescent="0.3">
      <c r="A543" s="139"/>
      <c r="B543" s="26"/>
      <c r="C543" s="22"/>
      <c r="D543" s="22"/>
      <c r="E543" s="250"/>
      <c r="F543" s="22"/>
      <c r="G543" s="22"/>
      <c r="H543" s="23"/>
      <c r="I543" s="22"/>
      <c r="J543" s="24"/>
      <c r="K543" s="23"/>
      <c r="L543" s="23"/>
      <c r="M543" s="22"/>
      <c r="N543" s="22"/>
      <c r="O543" s="22"/>
      <c r="P543" s="22"/>
      <c r="Q543" s="22"/>
      <c r="R543" s="23"/>
      <c r="S543" s="22"/>
      <c r="T543" s="24"/>
      <c r="U543" s="23"/>
      <c r="V543" s="23"/>
      <c r="W543" s="149"/>
      <c r="X543" s="150"/>
      <c r="Y543" s="150"/>
      <c r="Z543" s="183"/>
    </row>
    <row r="544" spans="1:26" x14ac:dyDescent="0.3">
      <c r="A544" s="73" t="s">
        <v>36</v>
      </c>
      <c r="B544" s="73" t="s">
        <v>37</v>
      </c>
      <c r="C544" s="11" t="s">
        <v>38</v>
      </c>
      <c r="D544" s="16">
        <v>46239</v>
      </c>
      <c r="E544" s="249" t="s">
        <v>39</v>
      </c>
      <c r="F544" s="11">
        <v>30049000</v>
      </c>
      <c r="G544" s="11" t="s">
        <v>139</v>
      </c>
      <c r="H544" s="12">
        <v>1496</v>
      </c>
      <c r="I544" s="11" t="s">
        <v>13</v>
      </c>
      <c r="J544" s="13">
        <v>2000</v>
      </c>
      <c r="K544" s="12">
        <v>2204920.9900000002</v>
      </c>
      <c r="L544" s="12">
        <v>44349</v>
      </c>
      <c r="M544" s="11"/>
      <c r="N544" s="11"/>
      <c r="O544" s="11"/>
      <c r="P544" s="11"/>
      <c r="Q544" s="11"/>
      <c r="R544" s="12"/>
      <c r="S544" s="11"/>
      <c r="T544" s="13"/>
      <c r="U544" s="12"/>
      <c r="V544" s="12"/>
      <c r="W544" s="133">
        <f t="shared" ref="W544:W545" si="289">J544-T544</f>
        <v>2000</v>
      </c>
      <c r="X544" s="71">
        <f t="shared" ref="X544:X545" si="290">K544-U544</f>
        <v>2204920.9900000002</v>
      </c>
      <c r="Y544" s="71">
        <f t="shared" ref="Y544:Y545" si="291">L544-V544</f>
        <v>44349</v>
      </c>
      <c r="Z544" s="119">
        <f t="shared" ref="Z544:Z545" si="292">H544-R544</f>
        <v>1496</v>
      </c>
    </row>
    <row r="545" spans="1:26" x14ac:dyDescent="0.3">
      <c r="A545" s="201"/>
      <c r="B545" s="202" t="s">
        <v>924</v>
      </c>
      <c r="C545" s="203"/>
      <c r="D545" s="203"/>
      <c r="E545" s="251"/>
      <c r="F545" s="203">
        <v>30049000</v>
      </c>
      <c r="G545" s="203" t="s">
        <v>139</v>
      </c>
      <c r="H545" s="204">
        <v>209</v>
      </c>
      <c r="I545" s="203" t="s">
        <v>13</v>
      </c>
      <c r="J545" s="205">
        <v>500</v>
      </c>
      <c r="K545" s="12">
        <v>532443.31000000006</v>
      </c>
      <c r="L545" s="204">
        <v>10649</v>
      </c>
      <c r="M545" s="203"/>
      <c r="N545" s="203"/>
      <c r="O545" s="203"/>
      <c r="P545" s="203"/>
      <c r="Q545" s="203"/>
      <c r="R545" s="204"/>
      <c r="S545" s="203"/>
      <c r="T545" s="205"/>
      <c r="U545" s="204"/>
      <c r="V545" s="204"/>
      <c r="W545" s="133">
        <f t="shared" si="289"/>
        <v>500</v>
      </c>
      <c r="X545" s="71">
        <f t="shared" si="290"/>
        <v>532443.31000000006</v>
      </c>
      <c r="Y545" s="71">
        <f t="shared" si="291"/>
        <v>10649</v>
      </c>
      <c r="Z545" s="119">
        <f t="shared" si="292"/>
        <v>209</v>
      </c>
    </row>
    <row r="546" spans="1:26" x14ac:dyDescent="0.3">
      <c r="A546" s="192"/>
      <c r="B546" s="193"/>
      <c r="C546" s="194"/>
      <c r="D546" s="194"/>
      <c r="E546" s="247"/>
      <c r="F546" s="194"/>
      <c r="G546" s="194"/>
      <c r="H546" s="208"/>
      <c r="I546" s="194"/>
      <c r="J546" s="196"/>
      <c r="K546" s="208"/>
      <c r="L546" s="195"/>
      <c r="M546" s="194"/>
      <c r="N546" s="194"/>
      <c r="O546" s="194"/>
      <c r="P546" s="194"/>
      <c r="Q546" s="194"/>
      <c r="R546" s="195"/>
      <c r="S546" s="194"/>
      <c r="T546" s="196"/>
      <c r="U546" s="195"/>
      <c r="V546" s="195"/>
      <c r="W546" s="197"/>
      <c r="X546" s="198"/>
      <c r="Y546" s="198"/>
      <c r="Z546" s="199"/>
    </row>
    <row r="547" spans="1:26" x14ac:dyDescent="0.3">
      <c r="A547" s="218" t="s">
        <v>209</v>
      </c>
      <c r="B547" s="218" t="s">
        <v>925</v>
      </c>
      <c r="C547" s="209" t="s">
        <v>926</v>
      </c>
      <c r="D547" s="219">
        <v>46240</v>
      </c>
      <c r="E547" s="247" t="s">
        <v>927</v>
      </c>
      <c r="F547" s="220">
        <v>3004900</v>
      </c>
      <c r="G547" s="221" t="s">
        <v>4</v>
      </c>
      <c r="H547" s="218">
        <v>902</v>
      </c>
      <c r="I547" s="220" t="s">
        <v>13</v>
      </c>
      <c r="J547" s="222">
        <v>350</v>
      </c>
      <c r="K547" s="223">
        <v>339675.01</v>
      </c>
      <c r="L547" s="256">
        <v>0</v>
      </c>
      <c r="M547" s="209"/>
      <c r="N547" s="209"/>
      <c r="O547" s="209"/>
      <c r="P547" s="209"/>
      <c r="Q547" s="209"/>
      <c r="R547" s="208"/>
      <c r="S547" s="209"/>
      <c r="T547" s="224"/>
      <c r="U547" s="208"/>
      <c r="V547" s="208"/>
      <c r="W547" s="225">
        <f>J547-T547</f>
        <v>350</v>
      </c>
      <c r="X547" s="226">
        <f>K547-U547</f>
        <v>339675.01</v>
      </c>
      <c r="Y547" s="226">
        <f t="shared" ref="Y547" si="293">L547-V547</f>
        <v>0</v>
      </c>
      <c r="Z547" s="227">
        <f>H547-R547</f>
        <v>902</v>
      </c>
    </row>
    <row r="548" spans="1:26" x14ac:dyDescent="0.3">
      <c r="A548" s="192"/>
      <c r="B548" s="239"/>
      <c r="C548" s="194"/>
      <c r="D548" s="194"/>
      <c r="E548" s="246"/>
      <c r="F548" s="209"/>
      <c r="G548" s="194"/>
      <c r="H548" s="195"/>
      <c r="I548" s="194"/>
      <c r="J548" s="196"/>
      <c r="K548" s="195"/>
      <c r="L548" s="208"/>
      <c r="M548" s="194"/>
      <c r="N548" s="194"/>
      <c r="O548" s="194"/>
      <c r="P548" s="194"/>
      <c r="Q548" s="194"/>
      <c r="R548" s="195"/>
      <c r="S548" s="194"/>
      <c r="T548" s="196"/>
      <c r="U548" s="195"/>
      <c r="V548" s="195"/>
      <c r="W548" s="197"/>
      <c r="X548" s="198"/>
      <c r="Y548" s="198"/>
      <c r="Z548" s="199"/>
    </row>
    <row r="549" spans="1:26" x14ac:dyDescent="0.3">
      <c r="A549" t="s">
        <v>242</v>
      </c>
      <c r="B549" s="200" t="s">
        <v>928</v>
      </c>
      <c r="C549" s="241" t="s">
        <v>929</v>
      </c>
      <c r="D549" s="236">
        <v>46239</v>
      </c>
      <c r="E549" s="248" t="s">
        <v>930</v>
      </c>
      <c r="F549" s="246">
        <v>30042000</v>
      </c>
      <c r="G549" s="241" t="s">
        <v>12</v>
      </c>
      <c r="H549" s="234">
        <v>206.9</v>
      </c>
      <c r="I549" s="231" t="s">
        <v>13</v>
      </c>
      <c r="J549" s="233">
        <v>598</v>
      </c>
      <c r="K549" s="253">
        <v>545997.98</v>
      </c>
      <c r="L549" s="254">
        <v>10982</v>
      </c>
      <c r="M549" s="241"/>
      <c r="N549" s="231"/>
      <c r="O549" s="231"/>
      <c r="P549" s="231"/>
      <c r="Q549" s="231"/>
      <c r="R549" s="232"/>
      <c r="S549" s="231"/>
      <c r="T549" s="233"/>
      <c r="U549" s="232"/>
      <c r="V549" s="232"/>
      <c r="W549" s="225">
        <f>J549-T549</f>
        <v>598</v>
      </c>
      <c r="X549" s="226">
        <f>K549-U549</f>
        <v>545997.98</v>
      </c>
      <c r="Y549" s="226">
        <f t="shared" ref="Y549" si="294">L549-V549</f>
        <v>10982</v>
      </c>
      <c r="Z549" s="227">
        <f>H549-R549</f>
        <v>206.9</v>
      </c>
    </row>
    <row r="550" spans="1:26" x14ac:dyDescent="0.3">
      <c r="A550" s="240"/>
      <c r="B550" s="193"/>
      <c r="C550" s="207"/>
      <c r="D550" s="194"/>
      <c r="E550" s="246"/>
      <c r="F550" s="245"/>
      <c r="G550" s="194"/>
      <c r="H550" s="208"/>
      <c r="I550" s="209"/>
      <c r="J550" s="224"/>
      <c r="K550" s="208"/>
      <c r="L550" s="232"/>
      <c r="M550" s="194"/>
      <c r="N550" s="194"/>
      <c r="O550" s="194"/>
      <c r="P550" s="194"/>
      <c r="Q550" s="194"/>
      <c r="R550" s="195"/>
      <c r="S550" s="194"/>
      <c r="T550" s="196"/>
      <c r="U550" s="195"/>
      <c r="V550" s="195"/>
      <c r="W550" s="197"/>
      <c r="X550" s="198"/>
      <c r="Y550" s="198"/>
      <c r="Z550" s="199"/>
    </row>
    <row r="551" spans="1:26" x14ac:dyDescent="0.3">
      <c r="A551" t="s">
        <v>931</v>
      </c>
      <c r="B551" s="200" t="s">
        <v>932</v>
      </c>
      <c r="C551" s="207" t="s">
        <v>933</v>
      </c>
      <c r="D551" s="236">
        <v>46239</v>
      </c>
      <c r="E551" s="248" t="s">
        <v>934</v>
      </c>
      <c r="F551" s="246">
        <v>30049000</v>
      </c>
      <c r="G551" s="244" t="s">
        <v>12</v>
      </c>
      <c r="H551" s="235">
        <v>590.4</v>
      </c>
      <c r="I551" s="206" t="s">
        <v>13</v>
      </c>
      <c r="J551" s="196">
        <v>28800</v>
      </c>
      <c r="K551" s="257">
        <v>980168.04</v>
      </c>
      <c r="L551" s="254">
        <v>20029</v>
      </c>
      <c r="M551" s="207" t="s">
        <v>433</v>
      </c>
      <c r="N551" s="194" t="s">
        <v>434</v>
      </c>
      <c r="O551" s="236">
        <v>46244</v>
      </c>
      <c r="P551" s="194" t="s">
        <v>935</v>
      </c>
      <c r="Q551" s="194"/>
      <c r="R551" s="195">
        <v>159</v>
      </c>
      <c r="S551" s="194" t="s">
        <v>13</v>
      </c>
      <c r="T551" s="196">
        <v>1200</v>
      </c>
      <c r="U551" s="12">
        <f>(K551*T551)/J551</f>
        <v>40840.334999999999</v>
      </c>
      <c r="V551" s="12">
        <f>(T551*L551)/J551</f>
        <v>834.54166666666663</v>
      </c>
      <c r="W551" s="225">
        <f t="shared" ref="W551:W552" si="295">J551-T551</f>
        <v>27600</v>
      </c>
      <c r="X551" s="226">
        <f t="shared" ref="X551:X552" si="296">K551-U551</f>
        <v>939327.70500000007</v>
      </c>
      <c r="Y551" s="226">
        <f t="shared" ref="Y551:Y552" si="297">L551-V551</f>
        <v>19194.458333333332</v>
      </c>
      <c r="Z551" s="227">
        <f t="shared" ref="Z551:Z552" si="298">H551-R551</f>
        <v>431.4</v>
      </c>
    </row>
    <row r="552" spans="1:26" x14ac:dyDescent="0.3">
      <c r="A552" s="192"/>
      <c r="B552" s="242" t="s">
        <v>936</v>
      </c>
      <c r="C552" s="207"/>
      <c r="D552" s="194"/>
      <c r="E552" s="246"/>
      <c r="F552" s="248">
        <v>30049000</v>
      </c>
      <c r="G552" s="206" t="s">
        <v>12</v>
      </c>
      <c r="H552" s="235">
        <v>497.43</v>
      </c>
      <c r="I552" s="206" t="s">
        <v>13</v>
      </c>
      <c r="J552" s="196">
        <v>9850</v>
      </c>
      <c r="K552" s="257">
        <v>1171067.99</v>
      </c>
      <c r="L552" s="254">
        <v>23422</v>
      </c>
      <c r="M552" s="207"/>
      <c r="N552" s="194"/>
      <c r="O552" s="194"/>
      <c r="P552" s="194"/>
      <c r="Q552" s="194"/>
      <c r="R552" s="195"/>
      <c r="S552" s="194"/>
      <c r="T552" s="196"/>
      <c r="U552" s="195"/>
      <c r="V552" s="195"/>
      <c r="W552" s="225">
        <f t="shared" si="295"/>
        <v>9850</v>
      </c>
      <c r="X552" s="226">
        <f t="shared" si="296"/>
        <v>1171067.99</v>
      </c>
      <c r="Y552" s="226">
        <f t="shared" si="297"/>
        <v>23422</v>
      </c>
      <c r="Z552" s="227">
        <f t="shared" si="298"/>
        <v>497.43</v>
      </c>
    </row>
    <row r="553" spans="1:26" x14ac:dyDescent="0.3">
      <c r="A553" s="243"/>
      <c r="B553" s="193"/>
      <c r="C553" s="207"/>
      <c r="D553" s="194"/>
      <c r="E553" s="246"/>
      <c r="F553" s="246"/>
      <c r="G553" s="194"/>
      <c r="H553" s="229"/>
      <c r="I553" s="228"/>
      <c r="J553" s="230"/>
      <c r="K553" s="229"/>
      <c r="L553" s="229"/>
      <c r="M553" s="194"/>
      <c r="N553" s="194"/>
      <c r="O553" s="194"/>
      <c r="P553" s="194"/>
      <c r="Q553" s="194"/>
      <c r="R553" s="195"/>
      <c r="S553" s="194"/>
      <c r="T553" s="196"/>
      <c r="U553" s="195"/>
      <c r="V553" s="195"/>
      <c r="W553" s="197"/>
      <c r="X553" s="198"/>
      <c r="Y553" s="198"/>
      <c r="Z553" s="199"/>
    </row>
    <row r="554" spans="1:26" x14ac:dyDescent="0.3">
      <c r="A554" t="s">
        <v>937</v>
      </c>
      <c r="B554" s="200" t="s">
        <v>938</v>
      </c>
      <c r="C554" s="220" t="s">
        <v>939</v>
      </c>
      <c r="D554" s="236">
        <v>46239</v>
      </c>
      <c r="E554" s="247" t="s">
        <v>940</v>
      </c>
      <c r="F554" s="248">
        <v>30049000</v>
      </c>
      <c r="G554" s="209" t="s">
        <v>12</v>
      </c>
      <c r="H554" s="237">
        <v>577.91999999999996</v>
      </c>
      <c r="I554" s="209" t="s">
        <v>13</v>
      </c>
      <c r="J554" s="224">
        <v>4816</v>
      </c>
      <c r="K554" s="237">
        <v>368803.45</v>
      </c>
      <c r="L554" s="237">
        <v>7702</v>
      </c>
      <c r="M554" s="209"/>
      <c r="N554" s="209"/>
      <c r="O554" s="209"/>
      <c r="P554" s="209"/>
      <c r="Q554" s="209"/>
      <c r="R554" s="208"/>
      <c r="S554" s="209"/>
      <c r="T554" s="224"/>
      <c r="U554" s="208"/>
      <c r="V554" s="208"/>
      <c r="W554" s="225">
        <f>J554-T554</f>
        <v>4816</v>
      </c>
      <c r="X554" s="226">
        <f>K554-U554</f>
        <v>368803.45</v>
      </c>
      <c r="Y554" s="226">
        <f t="shared" ref="Y554" si="299">L554-V554</f>
        <v>7702</v>
      </c>
      <c r="Z554" s="227">
        <f>H554-R554</f>
        <v>577.91999999999996</v>
      </c>
    </row>
    <row r="555" spans="1:26" x14ac:dyDescent="0.3">
      <c r="A555" s="240"/>
      <c r="B555" s="193"/>
      <c r="C555" s="207"/>
      <c r="D555" s="194"/>
      <c r="E555" s="246"/>
      <c r="F555" s="247"/>
      <c r="G555" s="194"/>
      <c r="H555" s="195"/>
      <c r="I555" s="194"/>
      <c r="J555" s="196"/>
      <c r="K555" s="195"/>
      <c r="L555" s="195"/>
      <c r="M555" s="194"/>
      <c r="N555" s="194"/>
      <c r="O555" s="194"/>
      <c r="P555" s="194"/>
      <c r="Q555" s="194"/>
      <c r="R555" s="195"/>
      <c r="S555" s="194"/>
      <c r="T555" s="196"/>
      <c r="U555" s="195"/>
      <c r="V555" s="195"/>
      <c r="W555" s="197"/>
      <c r="X555" s="198"/>
      <c r="Y555" s="198"/>
      <c r="Z555" s="199"/>
    </row>
    <row r="556" spans="1:26" x14ac:dyDescent="0.3">
      <c r="A556" t="s">
        <v>242</v>
      </c>
      <c r="B556" s="200" t="s">
        <v>941</v>
      </c>
      <c r="C556" s="207" t="s">
        <v>942</v>
      </c>
      <c r="D556" s="236">
        <v>46239</v>
      </c>
      <c r="E556" s="248" t="s">
        <v>943</v>
      </c>
      <c r="F556" s="246">
        <v>30049000</v>
      </c>
      <c r="G556" s="207" t="s">
        <v>12</v>
      </c>
      <c r="H556" s="195">
        <v>267</v>
      </c>
      <c r="I556" s="194" t="s">
        <v>13</v>
      </c>
      <c r="J556" s="196">
        <v>500</v>
      </c>
      <c r="K556" s="255">
        <v>571457.94999999995</v>
      </c>
      <c r="L556" s="238">
        <v>11504</v>
      </c>
      <c r="M556" s="194"/>
      <c r="N556" s="194"/>
      <c r="O556" s="194"/>
      <c r="P556" s="194"/>
      <c r="Q556" s="194"/>
      <c r="R556" s="195"/>
      <c r="S556" s="194"/>
      <c r="T556" s="196"/>
      <c r="U556" s="195"/>
      <c r="V556" s="195"/>
      <c r="W556" s="225">
        <f>J556-T556</f>
        <v>500</v>
      </c>
      <c r="X556" s="226">
        <f>K556-U556</f>
        <v>571457.94999999995</v>
      </c>
      <c r="Y556" s="226">
        <f t="shared" ref="Y556" si="300">L556-V556</f>
        <v>11504</v>
      </c>
      <c r="Z556" s="227">
        <f>H556-R556</f>
        <v>267</v>
      </c>
    </row>
    <row r="557" spans="1:26" x14ac:dyDescent="0.3">
      <c r="A557" s="240"/>
      <c r="B557" s="193"/>
      <c r="C557" s="207"/>
      <c r="D557" s="194"/>
      <c r="E557" s="252"/>
      <c r="F557" s="246"/>
      <c r="G557" s="207"/>
      <c r="H557" s="195"/>
      <c r="I557" s="194"/>
      <c r="J557" s="196"/>
      <c r="K557" s="195"/>
      <c r="L557" s="195"/>
      <c r="M557" s="194"/>
      <c r="N557" s="194"/>
      <c r="O557" s="194"/>
      <c r="P557" s="194"/>
      <c r="Q557" s="194"/>
      <c r="R557" s="195"/>
      <c r="S557" s="194"/>
      <c r="T557" s="196"/>
      <c r="U557" s="195"/>
      <c r="V557" s="195"/>
      <c r="W557" s="197"/>
      <c r="X557" s="198"/>
      <c r="Y557" s="198"/>
      <c r="Z557" s="199"/>
    </row>
    <row r="558" spans="1:26" x14ac:dyDescent="0.3">
      <c r="A558" t="s">
        <v>242</v>
      </c>
      <c r="B558" s="200" t="s">
        <v>944</v>
      </c>
      <c r="C558" s="207" t="s">
        <v>945</v>
      </c>
      <c r="D558" s="236">
        <v>46239</v>
      </c>
      <c r="E558" s="248" t="s">
        <v>946</v>
      </c>
      <c r="F558" s="246">
        <v>30042000</v>
      </c>
      <c r="G558" s="207" t="s">
        <v>12</v>
      </c>
      <c r="H558" s="195">
        <v>153</v>
      </c>
      <c r="I558" s="194" t="s">
        <v>13</v>
      </c>
      <c r="J558" s="196">
        <v>1500</v>
      </c>
      <c r="K558" s="238">
        <v>2674856.52</v>
      </c>
      <c r="L558" s="195">
        <v>53538</v>
      </c>
      <c r="M558" s="194"/>
      <c r="N558" s="194"/>
      <c r="O558" s="194"/>
      <c r="P558" s="194"/>
      <c r="Q558" s="194"/>
      <c r="R558" s="195"/>
      <c r="S558" s="194"/>
      <c r="T558" s="196"/>
      <c r="U558" s="195"/>
      <c r="V558" s="195"/>
      <c r="W558" s="225">
        <f>J558-T558</f>
        <v>1500</v>
      </c>
      <c r="X558" s="226">
        <f>K558-U558</f>
        <v>2674856.52</v>
      </c>
      <c r="Y558" s="226">
        <f t="shared" ref="Y558" si="301">L558-V558</f>
        <v>53538</v>
      </c>
      <c r="Z558" s="227">
        <f>H558-R558</f>
        <v>153</v>
      </c>
    </row>
    <row r="559" spans="1:26" x14ac:dyDescent="0.3">
      <c r="A559" s="240"/>
      <c r="B559" s="193"/>
      <c r="C559" s="207"/>
      <c r="D559" s="194"/>
      <c r="E559" s="252"/>
      <c r="F559" s="194"/>
      <c r="G559" s="207"/>
      <c r="H559" s="195"/>
      <c r="I559" s="194"/>
      <c r="J559" s="196"/>
      <c r="K559" s="195"/>
      <c r="L559" s="195"/>
      <c r="M559" s="194"/>
      <c r="N559" s="194"/>
      <c r="O559" s="194"/>
      <c r="P559" s="194"/>
      <c r="Q559" s="194"/>
      <c r="R559" s="195"/>
      <c r="S559" s="194"/>
      <c r="T559" s="196"/>
      <c r="U559" s="195"/>
      <c r="V559" s="195"/>
      <c r="W559" s="197"/>
      <c r="X559" s="198"/>
      <c r="Y559" s="198"/>
      <c r="Z559" s="199"/>
    </row>
    <row r="560" spans="1:26" x14ac:dyDescent="0.3">
      <c r="A560" s="240" t="s">
        <v>937</v>
      </c>
      <c r="B560" s="200" t="s">
        <v>947</v>
      </c>
      <c r="C560" s="207" t="s">
        <v>948</v>
      </c>
      <c r="D560" s="236">
        <v>46240</v>
      </c>
      <c r="E560" s="248" t="s">
        <v>949</v>
      </c>
      <c r="F560" s="194">
        <v>30045000</v>
      </c>
      <c r="G560" s="207" t="s">
        <v>12</v>
      </c>
      <c r="H560" s="195">
        <v>1044</v>
      </c>
      <c r="I560" s="194" t="s">
        <v>13</v>
      </c>
      <c r="J560" s="196">
        <v>11968</v>
      </c>
      <c r="K560" s="238">
        <v>1993235.21</v>
      </c>
      <c r="L560" s="238">
        <v>40201</v>
      </c>
      <c r="M560" s="194"/>
      <c r="N560" s="194"/>
      <c r="O560" s="194"/>
      <c r="P560" s="194"/>
      <c r="Q560" s="194"/>
      <c r="R560" s="195"/>
      <c r="S560" s="194"/>
      <c r="T560" s="196"/>
      <c r="U560" s="195"/>
      <c r="V560" s="195"/>
      <c r="W560" s="225">
        <f>J560-T560</f>
        <v>11968</v>
      </c>
      <c r="X560" s="226">
        <f>K560-U560</f>
        <v>1993235.21</v>
      </c>
      <c r="Y560" s="226">
        <f t="shared" ref="Y560" si="302">L560-V560</f>
        <v>40201</v>
      </c>
      <c r="Z560" s="227">
        <f>H560-R560</f>
        <v>1044</v>
      </c>
    </row>
    <row r="561" spans="1:26" x14ac:dyDescent="0.3">
      <c r="A561" s="240"/>
      <c r="B561" s="193"/>
      <c r="C561" s="207"/>
      <c r="D561" s="194"/>
      <c r="E561" s="252"/>
      <c r="F561" s="194"/>
      <c r="G561" s="207"/>
      <c r="H561" s="195"/>
      <c r="I561" s="194"/>
      <c r="J561" s="196"/>
      <c r="K561" s="195"/>
      <c r="L561" s="195"/>
      <c r="M561" s="194"/>
      <c r="N561" s="194"/>
      <c r="O561" s="194"/>
      <c r="P561" s="194"/>
      <c r="Q561" s="194"/>
      <c r="R561" s="195"/>
      <c r="S561" s="194"/>
      <c r="T561" s="196"/>
      <c r="U561" s="195"/>
      <c r="V561" s="195"/>
      <c r="W561" s="197"/>
      <c r="X561" s="198"/>
      <c r="Y561" s="198"/>
      <c r="Z561" s="199"/>
    </row>
    <row r="562" spans="1:26" x14ac:dyDescent="0.3">
      <c r="A562" t="s">
        <v>950</v>
      </c>
      <c r="B562" s="239" t="s">
        <v>951</v>
      </c>
      <c r="C562" s="220" t="s">
        <v>952</v>
      </c>
      <c r="D562" s="258">
        <v>46259</v>
      </c>
      <c r="E562" s="259" t="s">
        <v>953</v>
      </c>
      <c r="F562" s="247">
        <v>30049000</v>
      </c>
      <c r="G562" s="220" t="s">
        <v>954</v>
      </c>
      <c r="H562" s="237">
        <v>249.24</v>
      </c>
      <c r="I562" s="209" t="s">
        <v>13</v>
      </c>
      <c r="J562" s="224">
        <v>20000</v>
      </c>
      <c r="K562" s="255">
        <v>2205797.0099999998</v>
      </c>
      <c r="L562" s="237">
        <v>44366</v>
      </c>
      <c r="M562" s="209"/>
      <c r="N562" s="209"/>
      <c r="O562" s="209"/>
      <c r="P562" s="209"/>
      <c r="Q562" s="209"/>
      <c r="R562" s="208"/>
      <c r="S562" s="209"/>
      <c r="T562" s="224"/>
      <c r="U562" s="208"/>
      <c r="V562" s="208"/>
      <c r="W562" s="225">
        <f>J562-T562</f>
        <v>20000</v>
      </c>
      <c r="X562" s="226">
        <f>K562-U562</f>
        <v>2205797.0099999998</v>
      </c>
      <c r="Y562" s="226">
        <f t="shared" ref="Y562" si="303">L562-V562</f>
        <v>44366</v>
      </c>
      <c r="Z562" s="227">
        <f>H562-R562</f>
        <v>249.24</v>
      </c>
    </row>
    <row r="563" spans="1:26" s="267" customFormat="1" x14ac:dyDescent="0.3">
      <c r="A563" s="260"/>
      <c r="B563" s="261"/>
      <c r="C563" s="246"/>
      <c r="D563" s="246"/>
      <c r="E563" s="246"/>
      <c r="F563" s="246"/>
      <c r="G563" s="246"/>
      <c r="H563" s="262"/>
      <c r="I563" s="246"/>
      <c r="J563" s="263"/>
      <c r="K563" s="262"/>
      <c r="L563" s="262"/>
      <c r="M563" s="246"/>
      <c r="N563" s="246"/>
      <c r="O563" s="246"/>
      <c r="P563" s="246"/>
      <c r="Q563" s="246"/>
      <c r="R563" s="262"/>
      <c r="S563" s="246"/>
      <c r="T563" s="263"/>
      <c r="U563" s="262"/>
      <c r="V563" s="262"/>
      <c r="W563" s="264"/>
      <c r="X563" s="265"/>
      <c r="Y563" s="265"/>
      <c r="Z563" s="266"/>
    </row>
    <row r="564" spans="1:26" s="267" customFormat="1" x14ac:dyDescent="0.3">
      <c r="A564" s="268" t="s">
        <v>955</v>
      </c>
      <c r="B564" s="268" t="s">
        <v>956</v>
      </c>
      <c r="C564" s="246" t="s">
        <v>957</v>
      </c>
      <c r="D564" s="269">
        <v>46265</v>
      </c>
      <c r="E564" s="270" t="s">
        <v>958</v>
      </c>
      <c r="F564" s="246">
        <v>30049000</v>
      </c>
      <c r="G564" s="246" t="s">
        <v>267</v>
      </c>
      <c r="H564" s="271">
        <v>637</v>
      </c>
      <c r="I564" s="246" t="s">
        <v>13</v>
      </c>
      <c r="J564" s="263">
        <v>39121</v>
      </c>
      <c r="K564" s="276">
        <v>1573577.12</v>
      </c>
      <c r="L564" s="262">
        <v>31722</v>
      </c>
      <c r="M564" s="246"/>
      <c r="N564" s="246"/>
      <c r="O564" s="246"/>
      <c r="P564" s="246"/>
      <c r="Q564" s="246"/>
      <c r="R564" s="262"/>
      <c r="S564" s="246"/>
      <c r="T564" s="263"/>
      <c r="U564" s="262"/>
      <c r="V564" s="262"/>
      <c r="W564" s="272">
        <f t="shared" ref="W564:W565" si="304">J564-T564</f>
        <v>39121</v>
      </c>
      <c r="X564" s="273">
        <f t="shared" ref="X564:X565" si="305">K564-U564</f>
        <v>1573577.12</v>
      </c>
      <c r="Y564" s="273">
        <f t="shared" ref="Y564:Y565" si="306">L564-V564</f>
        <v>31722</v>
      </c>
      <c r="Z564" s="274">
        <f t="shared" ref="Z564:Z565" si="307">H564-R564</f>
        <v>637</v>
      </c>
    </row>
    <row r="565" spans="1:26" s="267" customFormat="1" x14ac:dyDescent="0.3">
      <c r="A565" s="260"/>
      <c r="B565" s="268" t="s">
        <v>959</v>
      </c>
      <c r="C565" s="246"/>
      <c r="D565" s="246"/>
      <c r="E565" s="246"/>
      <c r="F565" s="246">
        <v>30049000</v>
      </c>
      <c r="G565" s="246" t="s">
        <v>267</v>
      </c>
      <c r="H565" s="262">
        <v>58</v>
      </c>
      <c r="I565" s="246" t="s">
        <v>13</v>
      </c>
      <c r="J565" s="263">
        <v>508</v>
      </c>
      <c r="K565" s="276">
        <v>777789.57</v>
      </c>
      <c r="L565" s="262">
        <v>15556</v>
      </c>
      <c r="M565" s="246"/>
      <c r="N565" s="246"/>
      <c r="O565" s="246"/>
      <c r="P565" s="246"/>
      <c r="Q565" s="246"/>
      <c r="R565" s="262"/>
      <c r="S565" s="246"/>
      <c r="T565" s="263"/>
      <c r="U565" s="262"/>
      <c r="V565" s="262"/>
      <c r="W565" s="272">
        <f t="shared" si="304"/>
        <v>508</v>
      </c>
      <c r="X565" s="273">
        <f t="shared" si="305"/>
        <v>777789.57</v>
      </c>
      <c r="Y565" s="273">
        <f t="shared" si="306"/>
        <v>15556</v>
      </c>
      <c r="Z565" s="274">
        <f t="shared" si="307"/>
        <v>58</v>
      </c>
    </row>
    <row r="566" spans="1:26" s="267" customFormat="1" x14ac:dyDescent="0.3">
      <c r="A566" s="260"/>
      <c r="B566" s="261"/>
      <c r="C566" s="246"/>
      <c r="D566" s="246"/>
      <c r="E566" s="246"/>
      <c r="F566" s="246"/>
      <c r="G566" s="246"/>
      <c r="H566" s="277"/>
      <c r="I566" s="278"/>
      <c r="J566" s="279"/>
      <c r="K566" s="262"/>
      <c r="L566" s="262"/>
      <c r="M566" s="246"/>
      <c r="N566" s="246"/>
      <c r="O566" s="246"/>
      <c r="P566" s="246"/>
      <c r="Q566" s="246"/>
      <c r="R566" s="262"/>
      <c r="S566" s="246"/>
      <c r="T566" s="263"/>
      <c r="U566" s="262"/>
      <c r="V566" s="262"/>
      <c r="W566" s="264"/>
      <c r="X566" s="265"/>
      <c r="Y566" s="265"/>
      <c r="Z566" s="266"/>
    </row>
    <row r="567" spans="1:26" s="267" customFormat="1" x14ac:dyDescent="0.3">
      <c r="A567" s="268" t="s">
        <v>955</v>
      </c>
      <c r="B567" s="268" t="s">
        <v>960</v>
      </c>
      <c r="C567" s="246" t="s">
        <v>961</v>
      </c>
      <c r="D567" s="275">
        <v>46267</v>
      </c>
      <c r="E567" s="270" t="s">
        <v>962</v>
      </c>
      <c r="F567" s="270">
        <v>84212100</v>
      </c>
      <c r="G567" s="246" t="s">
        <v>267</v>
      </c>
      <c r="H567" s="277">
        <v>15</v>
      </c>
      <c r="I567" s="278" t="s">
        <v>5</v>
      </c>
      <c r="J567" s="277">
        <v>15</v>
      </c>
      <c r="K567" s="276">
        <v>53932.73</v>
      </c>
      <c r="L567" s="276">
        <v>9959</v>
      </c>
      <c r="M567" s="246"/>
      <c r="N567" s="246"/>
      <c r="O567" s="246"/>
      <c r="P567" s="246"/>
      <c r="Q567" s="246"/>
      <c r="R567" s="262"/>
      <c r="S567" s="246"/>
      <c r="T567" s="263"/>
      <c r="U567" s="262"/>
      <c r="V567" s="262"/>
      <c r="W567" s="272">
        <f t="shared" ref="W567:W569" si="308">J567-T567</f>
        <v>15</v>
      </c>
      <c r="X567" s="273">
        <f t="shared" ref="X567:X569" si="309">K567-U567</f>
        <v>53932.73</v>
      </c>
      <c r="Y567" s="273">
        <f t="shared" ref="Y567:Y569" si="310">L567-V567</f>
        <v>9959</v>
      </c>
      <c r="Z567" s="274">
        <f t="shared" ref="Z567:Z569" si="311">H567-R567</f>
        <v>15</v>
      </c>
    </row>
    <row r="568" spans="1:26" s="267" customFormat="1" x14ac:dyDescent="0.3">
      <c r="A568" s="260"/>
      <c r="B568" s="268" t="s">
        <v>963</v>
      </c>
      <c r="C568" s="246"/>
      <c r="D568" s="246"/>
      <c r="E568" s="246"/>
      <c r="F568" s="270">
        <v>96085000</v>
      </c>
      <c r="G568" s="246" t="s">
        <v>267</v>
      </c>
      <c r="H568" s="277">
        <v>150</v>
      </c>
      <c r="I568" s="278" t="s">
        <v>5</v>
      </c>
      <c r="J568" s="277">
        <v>150</v>
      </c>
      <c r="K568" s="276">
        <v>4599.41</v>
      </c>
      <c r="L568" s="276">
        <v>2162</v>
      </c>
      <c r="M568" s="246"/>
      <c r="N568" s="246"/>
      <c r="O568" s="246"/>
      <c r="P568" s="246"/>
      <c r="Q568" s="246"/>
      <c r="R568" s="262"/>
      <c r="S568" s="246"/>
      <c r="T568" s="263"/>
      <c r="U568" s="262"/>
      <c r="V568" s="262"/>
      <c r="W568" s="272">
        <f t="shared" si="308"/>
        <v>150</v>
      </c>
      <c r="X568" s="273">
        <f t="shared" si="309"/>
        <v>4599.41</v>
      </c>
      <c r="Y568" s="273">
        <f t="shared" si="310"/>
        <v>2162</v>
      </c>
      <c r="Z568" s="274">
        <f t="shared" si="311"/>
        <v>150</v>
      </c>
    </row>
    <row r="569" spans="1:26" s="267" customFormat="1" x14ac:dyDescent="0.3">
      <c r="A569" s="260"/>
      <c r="B569" s="268" t="s">
        <v>964</v>
      </c>
      <c r="C569" s="246"/>
      <c r="D569" s="246"/>
      <c r="E569" s="246"/>
      <c r="F569" s="270">
        <v>96032900</v>
      </c>
      <c r="G569" s="246" t="s">
        <v>267</v>
      </c>
      <c r="H569" s="277">
        <v>15</v>
      </c>
      <c r="I569" s="278" t="s">
        <v>5</v>
      </c>
      <c r="J569" s="277">
        <v>15</v>
      </c>
      <c r="K569" s="276">
        <v>38669.599999999999</v>
      </c>
      <c r="L569" s="276">
        <v>18177</v>
      </c>
      <c r="M569" s="246"/>
      <c r="N569" s="246"/>
      <c r="O569" s="246"/>
      <c r="P569" s="246"/>
      <c r="Q569" s="246"/>
      <c r="R569" s="262"/>
      <c r="S569" s="246"/>
      <c r="T569" s="263"/>
      <c r="U569" s="262"/>
      <c r="V569" s="262"/>
      <c r="W569" s="272">
        <f t="shared" si="308"/>
        <v>15</v>
      </c>
      <c r="X569" s="273">
        <f t="shared" si="309"/>
        <v>38669.599999999999</v>
      </c>
      <c r="Y569" s="273">
        <f t="shared" si="310"/>
        <v>18177</v>
      </c>
      <c r="Z569" s="274">
        <f t="shared" si="311"/>
        <v>15</v>
      </c>
    </row>
    <row r="570" spans="1:26" s="267" customFormat="1" x14ac:dyDescent="0.3">
      <c r="A570" s="260"/>
      <c r="B570" s="261"/>
      <c r="C570" s="246"/>
      <c r="D570" s="246"/>
      <c r="E570" s="246"/>
      <c r="F570" s="246"/>
      <c r="G570" s="246"/>
      <c r="H570" s="277"/>
      <c r="I570" s="278"/>
      <c r="J570" s="279"/>
      <c r="K570" s="262"/>
      <c r="L570" s="262"/>
      <c r="M570" s="246"/>
      <c r="N570" s="246"/>
      <c r="O570" s="246"/>
      <c r="P570" s="246"/>
      <c r="Q570" s="246"/>
      <c r="R570" s="262"/>
      <c r="S570" s="246"/>
      <c r="T570" s="263"/>
      <c r="U570" s="262"/>
      <c r="V570" s="262"/>
      <c r="W570" s="264"/>
      <c r="X570" s="265"/>
      <c r="Y570" s="265"/>
      <c r="Z570" s="266"/>
    </row>
    <row r="571" spans="1:26" s="267" customFormat="1" x14ac:dyDescent="0.3">
      <c r="A571" s="260"/>
      <c r="B571" s="261"/>
      <c r="C571" s="246"/>
      <c r="D571" s="246"/>
      <c r="E571" s="246"/>
      <c r="F571" s="246"/>
      <c r="G571" s="246"/>
      <c r="H571" s="262"/>
      <c r="I571" s="246"/>
      <c r="J571" s="263"/>
      <c r="K571" s="262"/>
      <c r="L571" s="262"/>
      <c r="M571" s="246"/>
      <c r="N571" s="246"/>
      <c r="O571" s="246"/>
      <c r="P571" s="246"/>
      <c r="Q571" s="246"/>
      <c r="R571" s="262"/>
      <c r="S571" s="246"/>
      <c r="T571" s="263"/>
      <c r="U571" s="262"/>
      <c r="V571" s="262"/>
      <c r="W571" s="264"/>
      <c r="X571" s="265"/>
      <c r="Y571" s="265"/>
      <c r="Z571" s="266"/>
    </row>
    <row r="572" spans="1:26" s="267" customFormat="1" x14ac:dyDescent="0.3">
      <c r="A572" s="260"/>
      <c r="B572" s="261"/>
      <c r="C572" s="246"/>
      <c r="D572" s="246"/>
      <c r="E572" s="246"/>
      <c r="F572" s="246"/>
      <c r="G572" s="246"/>
      <c r="H572" s="262"/>
      <c r="I572" s="246"/>
      <c r="J572" s="263"/>
      <c r="K572" s="262"/>
      <c r="L572" s="262"/>
      <c r="M572" s="246"/>
      <c r="N572" s="246"/>
      <c r="O572" s="246"/>
      <c r="P572" s="246"/>
      <c r="Q572" s="246"/>
      <c r="R572" s="262"/>
      <c r="S572" s="246"/>
      <c r="T572" s="263"/>
      <c r="U572" s="262"/>
      <c r="V572" s="262"/>
      <c r="W572" s="264"/>
      <c r="X572" s="265"/>
      <c r="Y572" s="265"/>
      <c r="Z572" s="266"/>
    </row>
    <row r="573" spans="1:26" x14ac:dyDescent="0.3">
      <c r="A573" s="240"/>
      <c r="B573" s="193"/>
      <c r="C573" s="207"/>
      <c r="D573" s="194"/>
      <c r="E573" s="246"/>
      <c r="F573" s="245"/>
      <c r="G573" s="194"/>
      <c r="H573" s="208"/>
      <c r="I573" s="209"/>
      <c r="J573" s="224"/>
      <c r="K573" s="208"/>
      <c r="L573" s="232"/>
      <c r="M573" s="194"/>
      <c r="N573" s="194"/>
      <c r="O573" s="194"/>
      <c r="P573" s="194"/>
      <c r="Q573" s="194"/>
      <c r="R573" s="195"/>
      <c r="S573" s="194"/>
      <c r="T573" s="196"/>
      <c r="U573" s="195"/>
      <c r="V573" s="195"/>
      <c r="W573" s="197"/>
      <c r="X573" s="198"/>
      <c r="Y573" s="198"/>
      <c r="Z573" s="199"/>
    </row>
    <row r="574" spans="1:26" x14ac:dyDescent="0.3">
      <c r="A574" s="240"/>
      <c r="B574" s="193"/>
      <c r="C574" s="207"/>
      <c r="D574" s="194"/>
      <c r="E574" s="252"/>
      <c r="F574" s="246"/>
      <c r="G574" s="244"/>
      <c r="H574" s="195"/>
      <c r="I574" s="194"/>
      <c r="J574" s="196"/>
      <c r="K574" s="195"/>
      <c r="L574" s="195"/>
      <c r="M574" s="207"/>
      <c r="N574" s="194"/>
      <c r="O574" s="194"/>
      <c r="P574" s="194"/>
      <c r="Q574" s="194"/>
      <c r="R574" s="195"/>
      <c r="S574" s="194"/>
      <c r="T574" s="196"/>
      <c r="U574" s="195"/>
      <c r="V574" s="195"/>
      <c r="W574" s="197"/>
      <c r="X574" s="198"/>
      <c r="Y574" s="198"/>
      <c r="Z574" s="199"/>
    </row>
    <row r="575" spans="1:26" x14ac:dyDescent="0.3">
      <c r="A575" s="240"/>
      <c r="B575" s="193"/>
      <c r="C575" s="207"/>
      <c r="D575" s="194"/>
      <c r="E575" s="252"/>
      <c r="F575" s="246"/>
      <c r="G575" s="244"/>
      <c r="H575" s="195"/>
      <c r="I575" s="194"/>
      <c r="J575" s="196"/>
      <c r="K575" s="195"/>
      <c r="L575" s="195"/>
      <c r="M575" s="207"/>
      <c r="N575" s="194"/>
      <c r="O575" s="194"/>
      <c r="P575" s="194"/>
      <c r="Q575" s="194"/>
      <c r="R575" s="195"/>
      <c r="S575" s="194"/>
      <c r="T575" s="196"/>
      <c r="U575" s="195"/>
      <c r="V575" s="195"/>
      <c r="W575" s="197"/>
      <c r="X575" s="198"/>
      <c r="Y575" s="198"/>
      <c r="Z575" s="199"/>
    </row>
    <row r="576" spans="1:26" x14ac:dyDescent="0.3">
      <c r="A576" s="240"/>
      <c r="B576" s="193"/>
      <c r="C576" s="207"/>
      <c r="D576" s="194"/>
      <c r="E576" s="252"/>
      <c r="F576" s="246"/>
      <c r="G576" s="244"/>
      <c r="H576" s="195"/>
      <c r="I576" s="194"/>
      <c r="J576" s="196"/>
      <c r="K576" s="195"/>
      <c r="L576" s="195"/>
      <c r="M576" s="207"/>
      <c r="N576" s="194"/>
      <c r="O576" s="194"/>
      <c r="P576" s="194"/>
      <c r="Q576" s="194"/>
      <c r="R576" s="195"/>
      <c r="S576" s="194"/>
      <c r="T576" s="196"/>
      <c r="U576" s="195"/>
      <c r="V576" s="195"/>
      <c r="W576" s="197"/>
      <c r="X576" s="198"/>
      <c r="Y576" s="198"/>
      <c r="Z576" s="199"/>
    </row>
    <row r="577" spans="1:26" x14ac:dyDescent="0.3">
      <c r="A577" s="240"/>
      <c r="B577" s="193"/>
      <c r="C577" s="207"/>
      <c r="D577" s="194"/>
      <c r="E577" s="252"/>
      <c r="F577" s="246"/>
      <c r="G577" s="244"/>
      <c r="H577" s="195"/>
      <c r="I577" s="194"/>
      <c r="J577" s="196"/>
      <c r="K577" s="195"/>
      <c r="L577" s="195"/>
      <c r="M577" s="207"/>
      <c r="N577" s="194"/>
      <c r="O577" s="194"/>
      <c r="P577" s="194"/>
      <c r="Q577" s="194"/>
      <c r="R577" s="195"/>
      <c r="S577" s="194"/>
      <c r="T577" s="196"/>
      <c r="U577" s="195"/>
      <c r="V577" s="195"/>
      <c r="W577" s="197"/>
      <c r="X577" s="198"/>
      <c r="Y577" s="198"/>
      <c r="Z577" s="199"/>
    </row>
    <row r="578" spans="1:26" x14ac:dyDescent="0.3">
      <c r="A578" s="240"/>
      <c r="B578" s="193"/>
      <c r="C578" s="207"/>
      <c r="D578" s="194"/>
      <c r="E578" s="252"/>
      <c r="F578" s="246"/>
      <c r="G578" s="244"/>
      <c r="H578" s="195"/>
      <c r="I578" s="194"/>
      <c r="J578" s="196"/>
      <c r="K578" s="195"/>
      <c r="L578" s="195"/>
      <c r="M578" s="207"/>
      <c r="N578" s="194"/>
      <c r="O578" s="194"/>
      <c r="P578" s="194"/>
      <c r="Q578" s="194"/>
      <c r="R578" s="195"/>
      <c r="S578" s="194"/>
      <c r="T578" s="196"/>
      <c r="U578" s="195"/>
      <c r="V578" s="195"/>
      <c r="W578" s="197"/>
      <c r="X578" s="198"/>
      <c r="Y578" s="198"/>
      <c r="Z578" s="199"/>
    </row>
    <row r="579" spans="1:26" x14ac:dyDescent="0.3">
      <c r="A579" s="240"/>
      <c r="B579" s="193"/>
      <c r="C579" s="207"/>
      <c r="D579" s="194"/>
      <c r="E579" s="252"/>
      <c r="F579" s="246"/>
      <c r="G579" s="244"/>
      <c r="H579" s="195"/>
      <c r="I579" s="194"/>
      <c r="J579" s="196"/>
      <c r="K579" s="195"/>
      <c r="L579" s="195"/>
      <c r="M579" s="207"/>
      <c r="N579" s="194"/>
      <c r="O579" s="194"/>
      <c r="P579" s="194"/>
      <c r="Q579" s="194"/>
      <c r="R579" s="195"/>
      <c r="S579" s="194"/>
      <c r="T579" s="196"/>
      <c r="U579" s="195"/>
      <c r="V579" s="195"/>
      <c r="W579" s="197"/>
      <c r="X579" s="198"/>
      <c r="Y579" s="198"/>
      <c r="Z579" s="199"/>
    </row>
    <row r="580" spans="1:26" x14ac:dyDescent="0.3">
      <c r="A580" s="240"/>
      <c r="B580" s="193"/>
      <c r="C580" s="207"/>
      <c r="D580" s="194"/>
      <c r="E580" s="252"/>
      <c r="F580" s="246"/>
      <c r="G580" s="244"/>
      <c r="H580" s="195"/>
      <c r="I580" s="194"/>
      <c r="J580" s="196"/>
      <c r="K580" s="195"/>
      <c r="L580" s="195"/>
      <c r="M580" s="207"/>
      <c r="N580" s="194"/>
      <c r="O580" s="194"/>
      <c r="P580" s="194"/>
      <c r="Q580" s="194"/>
      <c r="R580" s="195"/>
      <c r="S580" s="194"/>
      <c r="T580" s="196"/>
      <c r="U580" s="195"/>
      <c r="V580" s="195"/>
      <c r="W580" s="197"/>
      <c r="X580" s="198"/>
      <c r="Y580" s="198"/>
      <c r="Z580" s="199"/>
    </row>
    <row r="581" spans="1:26" x14ac:dyDescent="0.3">
      <c r="A581" s="240"/>
      <c r="B581" s="193"/>
      <c r="C581" s="207"/>
      <c r="D581" s="194"/>
      <c r="E581" s="252"/>
      <c r="F581" s="246"/>
      <c r="G581" s="244"/>
      <c r="H581" s="195"/>
      <c r="I581" s="194"/>
      <c r="J581" s="196"/>
      <c r="K581" s="195"/>
      <c r="L581" s="195"/>
      <c r="M581" s="207"/>
      <c r="N581" s="194"/>
      <c r="O581" s="194"/>
      <c r="P581" s="194"/>
      <c r="Q581" s="194"/>
      <c r="R581" s="195"/>
      <c r="S581" s="194"/>
      <c r="T581" s="196"/>
      <c r="U581" s="195"/>
      <c r="V581" s="195"/>
      <c r="W581" s="197"/>
      <c r="X581" s="198"/>
      <c r="Y581" s="198"/>
      <c r="Z581" s="199"/>
    </row>
    <row r="582" spans="1:26" x14ac:dyDescent="0.3">
      <c r="A582" s="240"/>
      <c r="B582" s="193"/>
      <c r="C582" s="207"/>
      <c r="D582" s="194"/>
      <c r="E582" s="252"/>
      <c r="F582" s="246"/>
      <c r="G582" s="244"/>
      <c r="H582" s="195"/>
      <c r="I582" s="194"/>
      <c r="J582" s="196"/>
      <c r="K582" s="195"/>
      <c r="L582" s="195"/>
      <c r="M582" s="207"/>
      <c r="N582" s="194"/>
      <c r="O582" s="194"/>
      <c r="P582" s="194"/>
      <c r="Q582" s="194"/>
      <c r="R582" s="195"/>
      <c r="S582" s="194"/>
      <c r="T582" s="196"/>
      <c r="U582" s="195"/>
      <c r="V582" s="195"/>
      <c r="W582" s="197"/>
      <c r="X582" s="198"/>
      <c r="Y582" s="198"/>
      <c r="Z582" s="199"/>
    </row>
    <row r="583" spans="1:26" x14ac:dyDescent="0.3">
      <c r="A583" s="240"/>
      <c r="B583" s="193"/>
      <c r="C583" s="207"/>
      <c r="D583" s="194"/>
      <c r="E583" s="252"/>
      <c r="F583" s="246"/>
      <c r="G583" s="244"/>
      <c r="H583" s="195"/>
      <c r="I583" s="194"/>
      <c r="J583" s="196"/>
      <c r="K583" s="195"/>
      <c r="L583" s="195"/>
      <c r="M583" s="207"/>
      <c r="N583" s="194"/>
      <c r="O583" s="194"/>
      <c r="P583" s="194"/>
      <c r="Q583" s="194"/>
      <c r="R583" s="195"/>
      <c r="S583" s="194"/>
      <c r="T583" s="196"/>
      <c r="U583" s="195"/>
      <c r="V583" s="195"/>
      <c r="W583" s="197"/>
      <c r="X583" s="198"/>
      <c r="Y583" s="198"/>
      <c r="Z583" s="199"/>
    </row>
    <row r="584" spans="1:26" x14ac:dyDescent="0.3">
      <c r="A584" s="240"/>
      <c r="B584" s="193"/>
      <c r="C584" s="207"/>
      <c r="D584" s="194"/>
      <c r="E584" s="252"/>
      <c r="F584" s="246"/>
      <c r="G584" s="244"/>
      <c r="H584" s="195"/>
      <c r="I584" s="194"/>
      <c r="J584" s="196"/>
      <c r="K584" s="195"/>
      <c r="L584" s="195"/>
      <c r="M584" s="207"/>
      <c r="N584" s="194"/>
      <c r="O584" s="194"/>
      <c r="P584" s="194"/>
      <c r="Q584" s="194"/>
      <c r="R584" s="195"/>
      <c r="S584" s="194"/>
      <c r="T584" s="196"/>
      <c r="U584" s="195"/>
      <c r="V584" s="195"/>
      <c r="W584" s="197"/>
      <c r="X584" s="198"/>
      <c r="Y584" s="198"/>
      <c r="Z584" s="199"/>
    </row>
    <row r="585" spans="1:26" x14ac:dyDescent="0.3">
      <c r="A585" s="240"/>
      <c r="B585" s="193"/>
      <c r="C585" s="207"/>
      <c r="D585" s="194"/>
      <c r="E585" s="252"/>
      <c r="F585" s="246"/>
      <c r="G585" s="244"/>
      <c r="H585" s="195"/>
      <c r="I585" s="194"/>
      <c r="J585" s="196"/>
      <c r="K585" s="195"/>
      <c r="L585" s="195"/>
      <c r="M585" s="207"/>
      <c r="N585" s="194"/>
      <c r="O585" s="194"/>
      <c r="P585" s="194"/>
      <c r="Q585" s="194"/>
      <c r="R585" s="195"/>
      <c r="S585" s="194"/>
      <c r="T585" s="196"/>
      <c r="U585" s="195"/>
      <c r="V585" s="195"/>
      <c r="W585" s="197"/>
      <c r="X585" s="198"/>
      <c r="Y585" s="198"/>
      <c r="Z585" s="199"/>
    </row>
    <row r="586" spans="1:26" x14ac:dyDescent="0.3">
      <c r="A586" s="240"/>
      <c r="B586" s="193"/>
      <c r="C586" s="207"/>
      <c r="D586" s="194"/>
      <c r="E586" s="252"/>
      <c r="F586" s="246"/>
      <c r="G586" s="244"/>
      <c r="H586" s="195"/>
      <c r="I586" s="194"/>
      <c r="J586" s="196"/>
      <c r="K586" s="195"/>
      <c r="L586" s="195"/>
      <c r="M586" s="207"/>
      <c r="N586" s="194"/>
      <c r="O586" s="194"/>
      <c r="P586" s="194"/>
      <c r="Q586" s="194"/>
      <c r="R586" s="195"/>
      <c r="S586" s="194"/>
      <c r="T586" s="196"/>
      <c r="U586" s="195"/>
      <c r="V586" s="195"/>
      <c r="W586" s="197"/>
      <c r="X586" s="198"/>
      <c r="Y586" s="198"/>
      <c r="Z586" s="199"/>
    </row>
    <row r="587" spans="1:26" x14ac:dyDescent="0.3">
      <c r="A587" s="240"/>
      <c r="B587" s="193"/>
      <c r="C587" s="207"/>
      <c r="D587" s="194"/>
      <c r="E587" s="252"/>
      <c r="F587" s="246"/>
      <c r="G587" s="244"/>
      <c r="H587" s="195"/>
      <c r="I587" s="194"/>
      <c r="J587" s="196"/>
      <c r="K587" s="195"/>
      <c r="L587" s="195"/>
      <c r="M587" s="207"/>
      <c r="N587" s="194"/>
      <c r="O587" s="194"/>
      <c r="P587" s="194"/>
      <c r="Q587" s="194"/>
      <c r="R587" s="195"/>
      <c r="S587" s="194"/>
      <c r="T587" s="196"/>
      <c r="U587" s="195"/>
      <c r="V587" s="195"/>
      <c r="W587" s="197"/>
      <c r="X587" s="198"/>
      <c r="Y587" s="198"/>
      <c r="Z587" s="199"/>
    </row>
    <row r="588" spans="1:26" x14ac:dyDescent="0.3">
      <c r="A588" s="240"/>
      <c r="B588" s="193"/>
      <c r="C588" s="207"/>
      <c r="D588" s="194"/>
      <c r="E588" s="252"/>
      <c r="F588" s="246"/>
      <c r="G588" s="244"/>
      <c r="H588" s="195"/>
      <c r="I588" s="194"/>
      <c r="J588" s="196"/>
      <c r="K588" s="195"/>
      <c r="L588" s="195"/>
      <c r="M588" s="207"/>
      <c r="N588" s="194"/>
      <c r="O588" s="194"/>
      <c r="P588" s="194"/>
      <c r="Q588" s="194"/>
      <c r="R588" s="195"/>
      <c r="S588" s="194"/>
      <c r="T588" s="196"/>
      <c r="U588" s="195"/>
      <c r="V588" s="195"/>
      <c r="W588" s="197"/>
      <c r="X588" s="198"/>
      <c r="Y588" s="198"/>
      <c r="Z588" s="199"/>
    </row>
  </sheetData>
  <autoFilter ref="N1:N588" xr:uid="{987934D9-7DCF-4016-86A3-9D6BDB898282}"/>
  <mergeCells count="32">
    <mergeCell ref="O92:O96"/>
    <mergeCell ref="P92:P96"/>
    <mergeCell ref="Q92:Q96"/>
    <mergeCell ref="K114:K115"/>
    <mergeCell ref="H114:H115"/>
    <mergeCell ref="B114:B115"/>
    <mergeCell ref="D114:D115"/>
    <mergeCell ref="E114:E115"/>
    <mergeCell ref="J114:J115"/>
    <mergeCell ref="B121:B122"/>
    <mergeCell ref="D121:D122"/>
    <mergeCell ref="E121:E122"/>
    <mergeCell ref="J121:J122"/>
    <mergeCell ref="I121:I122"/>
    <mergeCell ref="H121:H122"/>
    <mergeCell ref="C121:C122"/>
    <mergeCell ref="F121:F122"/>
    <mergeCell ref="G121:G122"/>
    <mergeCell ref="I114:I115"/>
    <mergeCell ref="F114:F115"/>
    <mergeCell ref="G114:G115"/>
    <mergeCell ref="O134:O151"/>
    <mergeCell ref="P134:P151"/>
    <mergeCell ref="Q134:Q151"/>
    <mergeCell ref="C114:C115"/>
    <mergeCell ref="K121:K122"/>
    <mergeCell ref="U121:U122"/>
    <mergeCell ref="A121:A122"/>
    <mergeCell ref="Q121:Q122"/>
    <mergeCell ref="O130:O132"/>
    <mergeCell ref="P130:P132"/>
    <mergeCell ref="Q130:Q132"/>
  </mergeCells>
  <phoneticPr fontId="3" type="noConversion"/>
  <pageMargins left="0.7" right="0.7" top="0.75" bottom="0.75" header="0.3" footer="0.3"/>
  <ignoredErrors>
    <ignoredError sqref="U18 U59:U63 U21:V21 Y15 V22 V56 V61:V63 X2 U56:U57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Kevit Chandaria</dc:creator>
  <cp:keywords/>
  <dc:description/>
  <cp:lastModifiedBy>Winnie Silvon Anyango</cp:lastModifiedBy>
  <cp:revision/>
  <dcterms:created xsi:type="dcterms:W3CDTF">2026-06-17T11:49:38Z</dcterms:created>
  <dcterms:modified xsi:type="dcterms:W3CDTF">2026-09-24T12:15:13Z</dcterms:modified>
  <cp:category/>
  <cp:contentStatus/>
</cp:coreProperties>
</file>